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fd45046c7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Y Summary" sheetId="1" r:id="Rf83c37b4d10043ce"/>
    <x:sheet xmlns:r="http://schemas.openxmlformats.org/officeDocument/2006/relationships" name="Event Data" sheetId="2" r:id="R9b1d17e51e19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"/>
    <x:numFmt numFmtId="201" formatCode="#,##0.0"/>
    <x:numFmt numFmtId="202" formatCode="0.0"/>
    <x:numFmt numFmtId="203" formatCode="#,##0"/>
  </x:numFmts>
  <x:fonts count="7">
    <x:font>
      <x:sz val="11"/>
      <x:name val="Carlito"/>
    </x:font>
    <x:font>
      <x:sz val="10"/>
      <x:color rgb="FF17223A"/>
      <x:name val="Arial"/>
    </x:font>
    <x:font>
      <x:b/>
      <x:sz val="16"/>
      <x:color rgb="FF102849"/>
      <x:name val="Arial"/>
    </x:font>
    <x:font>
      <x:i/>
      <x:sz val="10"/>
      <x:color rgb="FF647086"/>
      <x:name val="Arial"/>
    </x:font>
    <x:font>
      <x:b/>
      <x:sz val="10"/>
      <x:color rgb="FFFFFFFF"/>
      <x:name val="Arial"/>
    </x:font>
    <x:font>
      <x:b/>
      <x:sz val="11"/>
      <x:color rgb="FF183A6B"/>
      <x:name val="Arial"/>
    </x:font>
    <x:font>
      <x:b/>
      <x:sz val="10"/>
      <x:color rgb="FF183A6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A6B"/>
      </x:patternFill>
    </x:fill>
    <x:fill>
      <x:patternFill patternType="solid">
        <x:fgColor rgb="FFEEF2F6"/>
      </x:patternFill>
    </x:fill>
  </x:fills>
  <x:borders count="8">
    <x:border/>
    <x:border>
      <x:bottom style="medium">
        <x:color rgb="FFC49B45"/>
      </x:bottom>
    </x:border>
    <x:border>
      <x:right style="thin">
        <x:color rgb="FFFFFFFF"/>
      </x:right>
      <x:bottom style="thin">
        <x:color rgb="FF102849"/>
      </x:bottom>
    </x:border>
    <x:border>
      <x:left style="thin">
        <x:color rgb="FFFFFFFF"/>
      </x:left>
      <x:right style="thin">
        <x:color rgb="FFFFFFFF"/>
      </x:right>
      <x:bottom style="thin">
        <x:color rgb="FF102849"/>
      </x:bottom>
    </x:border>
    <x:border>
      <x:left style="thin">
        <x:color rgb="FFFFFFFF"/>
      </x:left>
      <x:bottom style="thin">
        <x:color rgb="FF102849"/>
      </x:bottom>
    </x:border>
    <x:border>
      <x:bottom style="thin">
        <x:color rgb="FFDCE1E8"/>
      </x:bottom>
    </x:border>
    <x:border>
      <x:top style="thin">
        <x:color rgb="FFDCE1E8"/>
      </x:top>
      <x:bottom style="thin">
        <x:color rgb="FFDCE1E8"/>
      </x:bottom>
    </x:border>
    <x:border>
      <x:top style="thin">
        <x:color rgb="FFDCE1E8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23A48"/>
      </x:font>
      <x:fill>
        <x:patternFill patternType="solid">
          <x:bgColor rgb="FFFDE8E8"/>
        </x:patternFill>
      </x:fill>
    </x:dxf>
    <x:dxf>
      <x:font>
        <x:b/>
        <x:color rgb="FFB23A48"/>
      </x:font>
      <x:fill>
        <x:patternFill patternType="solid">
          <x:bgColor rgb="FFFDE8E8"/>
        </x:patternFill>
      </x:fill>
    </x:dxf>
    <x:dxf>
      <x:font>
        <x:b/>
        <x:color rgb="FFB23A48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8088aff034aa7" /><Relationship Type="http://schemas.openxmlformats.org/officeDocument/2006/relationships/theme" Target="/xl/theme/theme1.xml" Id="Rab71ed0f1a1b4f51" /><Relationship Type="http://schemas.openxmlformats.org/officeDocument/2006/relationships/sharedStrings" Target="/xl/sharedStrings.xml" Id="Re13624f39def429b" /><Relationship Type="http://schemas.openxmlformats.org/officeDocument/2006/relationships/worksheet" Target="/xl/worksheets/sheet1.xml" Id="Rf83c37b4d10043ce" /><Relationship Type="http://schemas.openxmlformats.org/officeDocument/2006/relationships/worksheet" Target="/xl/worksheets/sheet2.xml" Id="R9b1d17e51e19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7" hidden="0" customWidth="1"/>
    <x:col min="4" max="4" width="14" hidden="0" customWidth="1"/>
    <x:col min="5" max="5" width="20" hidden="0" customWidth="1"/>
    <x:col min="6" max="6" width="18" hidden="0" customWidth="1"/>
    <x:col min="7" max="7" width="14" hidden="0" customWidth="1"/>
    <x:col min="8" max="8" width="22" hidden="0" customWidth="1"/>
    <x:col min="9" max="9" width="23" hidden="0" customWidth="1"/>
    <x:col min="10" max="10" width="14" hidden="0" customWidth="1"/>
    <x:col min="11" max="11" width="19" hidden="0" customWidth="1"/>
    <x:col min="12" max="12" width="22" hidden="0" customWidth="1"/>
    <x:col min="13" max="13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Event data by fiscal year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5" t="str">
        <x:v>Fiscal year is derived from Start Date. FY runs October 1 through September 30.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33" t="str">
        <x:v>Current system report compared with the imported event data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 ht="42" customHeight="1">
      <x:c r="A8" s="10" t="str">
        <x:v>Fiscal Year</x:v>
      </x:c>
      <x:c r="B8" s="11" t="str">
        <x:v>Current Events</x:v>
      </x:c>
      <x:c r="C8" s="11" t="str">
        <x:v>Imported Events</x:v>
      </x:c>
      <x:c r="D8" s="11" t="str">
        <x:v>Difference</x:v>
      </x:c>
      <x:c r="E8" s="11" t="str">
        <x:v>Current Attendance</x:v>
      </x:c>
      <x:c r="F8" s="11" t="str">
        <x:v>Imported Total</x:v>
      </x:c>
      <x:c r="G8" s="11" t="str">
        <x:v>Difference</x:v>
      </x:c>
      <x:c r="H8" s="11" t="str">
        <x:v>Current Program Hours</x:v>
      </x:c>
      <x:c r="I8" s="11" t="str">
        <x:v>Imported Program Hours</x:v>
      </x:c>
      <x:c r="J8" s="11" t="str">
        <x:v>Difference</x:v>
      </x:c>
      <x:c r="K8" s="11" t="str">
        <x:v>Imported Volunteers</x:v>
      </x:c>
      <x:c r="L8" s="11" t="str">
        <x:v>Imported Volunteer Hours</x:v>
      </x:c>
      <x:c r="M8" s="12" t="str">
        <x:v>Rows Missing Start Date</x:v>
      </x:c>
    </x:row>
    <x:row r="9">
      <x:c r="A9" s="17" t="str">
        <x:v>FY20</x:v>
      </x:c>
      <x:c r="B9" s="21" t="n">
        <x:v>122</x:v>
      </x:c>
      <x:c r="C9" s="21" t="n">
        <x:f>COUNTIFS('Event Data'!$B$8:$B$340,"&gt;="&amp;DATE(2019,10,1),'Event Data'!$B$8:$B$340,"&lt;"&amp;DATE(2020,10,1))</x:f>
        <x:v>67</x:v>
      </x:c>
      <x:c r="D9" s="21" t="n">
        <x:f>C9-B9</x:f>
        <x:v>-55</x:v>
      </x:c>
      <x:c r="E9" s="21" t="n">
        <x:v>5686</x:v>
      </x:c>
      <x:c r="F9" s="21" t="n">
        <x:f>SUMIFS('Event Data'!$V$8:$V$340,'Event Data'!$B$8:$B$340,"&gt;="&amp;DATE(2019,10,1),'Event Data'!$B$8:$B$340,"&lt;"&amp;DATE(2020,10,1))</x:f>
        <x:v>5100</x:v>
      </x:c>
      <x:c r="G9" s="21" t="n">
        <x:f>F9-E9</x:f>
        <x:v>-586</x:v>
      </x:c>
      <x:c r="H9" s="19" t="n">
        <x:v>138.8</x:v>
      </x:c>
      <x:c r="I9" s="19" t="n">
        <x:f>SUMIFS('Event Data'!$J$8:$J$340,'Event Data'!$B$8:$B$340,"&gt;="&amp;DATE(2019,10,1),'Event Data'!$B$8:$B$340,"&lt;"&amp;DATE(2020,10,1))</x:f>
        <x:v>138.75</x:v>
      </x:c>
      <x:c r="J9" s="19" t="n">
        <x:f>ROUND(I9-H9,1)</x:f>
        <x:v>-0.1</x:v>
      </x:c>
      <x:c r="K9" s="19" t="n">
        <x:f>SUMIFS('Event Data'!$H$8:$H$340,'Event Data'!$B$8:$B$340,"&gt;="&amp;DATE(2019,10,1),'Event Data'!$B$8:$B$340,"&lt;"&amp;DATE(2020,10,1))</x:f>
        <x:v>103</x:v>
      </x:c>
      <x:c r="L9" s="19" t="n">
        <x:f>SUMIFS('Event Data'!$I$8:$I$340,'Event Data'!$B$8:$B$340,"&gt;="&amp;DATE(2019,10,1),'Event Data'!$B$8:$B$340,"&lt;"&amp;DATE(2020,10,1))</x:f>
        <x:v>13</x:v>
      </x:c>
      <x:c r="M9" s="21" t="n">
        <x:f>IF(A9="FY20",COUNTBLANK('Event Data'!$B$8:$B$340),"")</x:f>
        <x:v>2</x:v>
      </x:c>
    </x:row>
    <x:row r="10">
      <x:c r="A10" s="22" t="str">
        <x:v>FY21</x:v>
      </x:c>
      <x:c r="B10" s="26" t="n">
        <x:v>109</x:v>
      </x:c>
      <x:c r="C10" s="26" t="n">
        <x:f>COUNTIFS('Event Data'!$B$8:$B$340,"&gt;="&amp;DATE(2020,10,1),'Event Data'!$B$8:$B$340,"&lt;"&amp;DATE(2021,10,1))</x:f>
        <x:v>42</x:v>
      </x:c>
      <x:c r="D10" s="26" t="n">
        <x:f>C10-B10</x:f>
        <x:v>-67</x:v>
      </x:c>
      <x:c r="E10" s="26" t="n">
        <x:v>4014</x:v>
      </x:c>
      <x:c r="F10" s="26" t="n">
        <x:f>SUMIFS('Event Data'!$V$8:$V$340,'Event Data'!$B$8:$B$340,"&gt;="&amp;DATE(2020,10,1),'Event Data'!$B$8:$B$340,"&lt;"&amp;DATE(2021,10,1))</x:f>
        <x:v>3303</x:v>
      </x:c>
      <x:c r="G10" s="26" t="n">
        <x:f>F10-E10</x:f>
        <x:v>-711</x:v>
      </x:c>
      <x:c r="H10" s="24" t="n">
        <x:v>276.5</x:v>
      </x:c>
      <x:c r="I10" s="24" t="n">
        <x:f>SUMIFS('Event Data'!$J$8:$J$340,'Event Data'!$B$8:$B$340,"&gt;="&amp;DATE(2020,10,1),'Event Data'!$B$8:$B$340,"&lt;"&amp;DATE(2021,10,1))</x:f>
        <x:v>276.5</x:v>
      </x:c>
      <x:c r="J10" s="24" t="n">
        <x:f>ROUND(I10-H10,1)</x:f>
        <x:v>0</x:v>
      </x:c>
      <x:c r="K10" s="24" t="n">
        <x:f>SUMIFS('Event Data'!$H$8:$H$340,'Event Data'!$B$8:$B$340,"&gt;="&amp;DATE(2020,10,1),'Event Data'!$B$8:$B$340,"&lt;"&amp;DATE(2021,10,1))</x:f>
        <x:v>162</x:v>
      </x:c>
      <x:c r="L10" s="24" t="n">
        <x:f>SUMIFS('Event Data'!$I$8:$I$340,'Event Data'!$B$8:$B$340,"&gt;="&amp;DATE(2020,10,1),'Event Data'!$B$8:$B$340,"&lt;"&amp;DATE(2021,10,1))</x:f>
        <x:v>193</x:v>
      </x:c>
      <x:c r="M10" s="26" t="str">
        <x:f>IF(A10="FY20",COUNTBLANK('Event Data'!$B$8:$B$340),"")</x:f>
      </x:c>
    </x:row>
    <x:row r="11">
      <x:c r="A11" s="22" t="str">
        <x:v>FY22</x:v>
      </x:c>
      <x:c r="B11" s="26" t="n">
        <x:v>76</x:v>
      </x:c>
      <x:c r="C11" s="26" t="n">
        <x:f>COUNTIFS('Event Data'!$B$8:$B$340,"&gt;="&amp;DATE(2021,10,1),'Event Data'!$B$8:$B$340,"&lt;"&amp;DATE(2022,10,1))</x:f>
        <x:v>51</x:v>
      </x:c>
      <x:c r="D11" s="26" t="n">
        <x:f>C11-B11</x:f>
        <x:v>-25</x:v>
      </x:c>
      <x:c r="E11" s="26" t="n">
        <x:v>5551</x:v>
      </x:c>
      <x:c r="F11" s="26" t="n">
        <x:f>SUMIFS('Event Data'!$V$8:$V$340,'Event Data'!$B$8:$B$340,"&gt;="&amp;DATE(2021,10,1),'Event Data'!$B$8:$B$340,"&lt;"&amp;DATE(2022,10,1))</x:f>
        <x:v>5369</x:v>
      </x:c>
      <x:c r="G11" s="26" t="n">
        <x:f>F11-E11</x:f>
        <x:v>-182</x:v>
      </x:c>
      <x:c r="H11" s="24" t="n">
        <x:v>367</x:v>
      </x:c>
      <x:c r="I11" s="24" t="n">
        <x:f>SUMIFS('Event Data'!$J$8:$J$340,'Event Data'!$B$8:$B$340,"&gt;="&amp;DATE(2021,10,1),'Event Data'!$B$8:$B$340,"&lt;"&amp;DATE(2022,10,1))</x:f>
        <x:v>367</x:v>
      </x:c>
      <x:c r="J11" s="24" t="n">
        <x:f>ROUND(I11-H11,1)</x:f>
        <x:v>0</x:v>
      </x:c>
      <x:c r="K11" s="24" t="n">
        <x:f>SUMIFS('Event Data'!$H$8:$H$340,'Event Data'!$B$8:$B$340,"&gt;="&amp;DATE(2021,10,1),'Event Data'!$B$8:$B$340,"&lt;"&amp;DATE(2022,10,1))</x:f>
        <x:v>186</x:v>
      </x:c>
      <x:c r="L11" s="24" t="n">
        <x:f>SUMIFS('Event Data'!$I$8:$I$340,'Event Data'!$B$8:$B$340,"&gt;="&amp;DATE(2021,10,1),'Event Data'!$B$8:$B$340,"&lt;"&amp;DATE(2022,10,1))</x:f>
        <x:v>274</x:v>
      </x:c>
      <x:c r="M11" s="26" t="str">
        <x:f>IF(A11="FY20",COUNTBLANK('Event Data'!$B$8:$B$340),"")</x:f>
      </x:c>
    </x:row>
    <x:row r="12">
      <x:c r="A12" s="22" t="str">
        <x:v>FY23</x:v>
      </x:c>
      <x:c r="B12" s="26" t="n">
        <x:v>58</x:v>
      </x:c>
      <x:c r="C12" s="26" t="n">
        <x:f>COUNTIFS('Event Data'!$B$8:$B$340,"&gt;="&amp;DATE(2022,10,1),'Event Data'!$B$8:$B$340,"&lt;"&amp;DATE(2023,10,1))</x:f>
        <x:v>41</x:v>
      </x:c>
      <x:c r="D12" s="26" t="n">
        <x:f>C12-B12</x:f>
        <x:v>-17</x:v>
      </x:c>
      <x:c r="E12" s="26" t="n">
        <x:v>4121</x:v>
      </x:c>
      <x:c r="F12" s="26" t="n">
        <x:f>SUMIFS('Event Data'!$V$8:$V$340,'Event Data'!$B$8:$B$340,"&gt;="&amp;DATE(2022,10,1),'Event Data'!$B$8:$B$340,"&lt;"&amp;DATE(2023,10,1))</x:f>
        <x:v>3896</x:v>
      </x:c>
      <x:c r="G12" s="26" t="n">
        <x:f>F12-E12</x:f>
        <x:v>-225</x:v>
      </x:c>
      <x:c r="H12" s="24" t="n">
        <x:v>243</x:v>
      </x:c>
      <x:c r="I12" s="24" t="n">
        <x:f>SUMIFS('Event Data'!$J$8:$J$340,'Event Data'!$B$8:$B$340,"&gt;="&amp;DATE(2022,10,1),'Event Data'!$B$8:$B$340,"&lt;"&amp;DATE(2023,10,1))</x:f>
        <x:v>243</x:v>
      </x:c>
      <x:c r="J12" s="24" t="n">
        <x:f>ROUND(I12-H12,1)</x:f>
        <x:v>0</x:v>
      </x:c>
      <x:c r="K12" s="24" t="n">
        <x:f>SUMIFS('Event Data'!$H$8:$H$340,'Event Data'!$B$8:$B$340,"&gt;="&amp;DATE(2022,10,1),'Event Data'!$B$8:$B$340,"&lt;"&amp;DATE(2023,10,1))</x:f>
        <x:v>120</x:v>
      </x:c>
      <x:c r="L12" s="24" t="n">
        <x:f>SUMIFS('Event Data'!$I$8:$I$340,'Event Data'!$B$8:$B$340,"&gt;="&amp;DATE(2022,10,1),'Event Data'!$B$8:$B$340,"&lt;"&amp;DATE(2023,10,1))</x:f>
        <x:v>165.5</x:v>
      </x:c>
      <x:c r="M12" s="26" t="str">
        <x:f>IF(A12="FY20",COUNTBLANK('Event Data'!$B$8:$B$340),"")</x:f>
      </x:c>
    </x:row>
    <x:row r="13">
      <x:c r="A13" s="22" t="str">
        <x:v>FY24</x:v>
      </x:c>
      <x:c r="B13" s="26" t="n">
        <x:v>53</x:v>
      </x:c>
      <x:c r="C13" s="26" t="n">
        <x:f>COUNTIFS('Event Data'!$B$8:$B$340,"&gt;="&amp;DATE(2023,10,1),'Event Data'!$B$8:$B$340,"&lt;"&amp;DATE(2024,10,1))</x:f>
        <x:v>36</x:v>
      </x:c>
      <x:c r="D13" s="26" t="n">
        <x:f>C13-B13</x:f>
        <x:v>-17</x:v>
      </x:c>
      <x:c r="E13" s="26" t="n">
        <x:v>2213</x:v>
      </x:c>
      <x:c r="F13" s="26" t="n">
        <x:f>SUMIFS('Event Data'!$V$8:$V$340,'Event Data'!$B$8:$B$340,"&gt;="&amp;DATE(2023,10,1),'Event Data'!$B$8:$B$340,"&lt;"&amp;DATE(2024,10,1))</x:f>
        <x:v>2065</x:v>
      </x:c>
      <x:c r="G13" s="26" t="n">
        <x:f>F13-E13</x:f>
        <x:v>-148</x:v>
      </x:c>
      <x:c r="H13" s="24" t="n">
        <x:v>273.2</x:v>
      </x:c>
      <x:c r="I13" s="24" t="n">
        <x:f>SUMIFS('Event Data'!$J$8:$J$340,'Event Data'!$B$8:$B$340,"&gt;="&amp;DATE(2023,10,1),'Event Data'!$B$8:$B$340,"&lt;"&amp;DATE(2024,10,1))</x:f>
        <x:v>273.25</x:v>
      </x:c>
      <x:c r="J13" s="24" t="n">
        <x:f>ROUND(I13-H13,1)</x:f>
        <x:v>0.1</x:v>
      </x:c>
      <x:c r="K13" s="24" t="n">
        <x:f>SUMIFS('Event Data'!$H$8:$H$340,'Event Data'!$B$8:$B$340,"&gt;="&amp;DATE(2023,10,1),'Event Data'!$B$8:$B$340,"&lt;"&amp;DATE(2024,10,1))</x:f>
        <x:v>204</x:v>
      </x:c>
      <x:c r="L13" s="24" t="n">
        <x:f>SUMIFS('Event Data'!$I$8:$I$340,'Event Data'!$B$8:$B$340,"&gt;="&amp;DATE(2023,10,1),'Event Data'!$B$8:$B$340,"&lt;"&amp;DATE(2024,10,1))</x:f>
        <x:v>231.25</x:v>
      </x:c>
      <x:c r="M13" s="26" t="str">
        <x:f>IF(A13="FY20",COUNTBLANK('Event Data'!$B$8:$B$340),"")</x:f>
      </x:c>
    </x:row>
    <x:row r="14">
      <x:c r="A14" s="22" t="str">
        <x:v>FY25</x:v>
      </x:c>
      <x:c r="B14" s="26" t="n">
        <x:v>78</x:v>
      </x:c>
      <x:c r="C14" s="26" t="n">
        <x:f>COUNTIFS('Event Data'!$B$8:$B$340,"&gt;="&amp;DATE(2024,10,1),'Event Data'!$B$8:$B$340,"&lt;"&amp;DATE(2025,10,1))</x:f>
        <x:v>43</x:v>
      </x:c>
      <x:c r="D14" s="26" t="n">
        <x:f>C14-B14</x:f>
        <x:v>-35</x:v>
      </x:c>
      <x:c r="E14" s="26" t="n">
        <x:v>6401</x:v>
      </x:c>
      <x:c r="F14" s="26" t="n">
        <x:f>SUMIFS('Event Data'!$V$8:$V$340,'Event Data'!$B$8:$B$340,"&gt;="&amp;DATE(2024,10,1),'Event Data'!$B$8:$B$340,"&lt;"&amp;DATE(2025,10,1))</x:f>
        <x:v>5993</x:v>
      </x:c>
      <x:c r="G14" s="26" t="n">
        <x:f>F14-E14</x:f>
        <x:v>-408</x:v>
      </x:c>
      <x:c r="H14" s="24" t="n">
        <x:v>271.8</x:v>
      </x:c>
      <x:c r="I14" s="24" t="n">
        <x:f>SUMIFS('Event Data'!$J$8:$J$340,'Event Data'!$B$8:$B$340,"&gt;="&amp;DATE(2024,10,1),'Event Data'!$B$8:$B$340,"&lt;"&amp;DATE(2025,10,1))</x:f>
        <x:v>240.75</x:v>
      </x:c>
      <x:c r="J14" s="24" t="n">
        <x:f>ROUND(I14-H14,1)</x:f>
        <x:v>-31.1</x:v>
      </x:c>
      <x:c r="K14" s="24" t="n">
        <x:f>SUMIFS('Event Data'!$H$8:$H$340,'Event Data'!$B$8:$B$340,"&gt;="&amp;DATE(2024,10,1),'Event Data'!$B$8:$B$340,"&lt;"&amp;DATE(2025,10,1))</x:f>
        <x:v>168</x:v>
      </x:c>
      <x:c r="L14" s="24" t="n">
        <x:f>SUMIFS('Event Data'!$I$8:$I$340,'Event Data'!$B$8:$B$340,"&gt;="&amp;DATE(2024,10,1),'Event Data'!$B$8:$B$340,"&lt;"&amp;DATE(2025,10,1))</x:f>
        <x:v>149</x:v>
      </x:c>
      <x:c r="M14" s="26" t="str">
        <x:f>IF(A14="FY20",COUNTBLANK('Event Data'!$B$8:$B$340),"")</x:f>
      </x:c>
    </x:row>
    <x:row r="15">
      <x:c r="A15" s="27" t="str">
        <x:v>FY26</x:v>
      </x:c>
      <x:c r="B15" s="31" t="n">
        <x:v>66</x:v>
      </x:c>
      <x:c r="C15" s="31" t="n">
        <x:f>COUNTIFS('Event Data'!$B$8:$B$340,"&gt;="&amp;DATE(2025,10,1),'Event Data'!$B$8:$B$340,"&lt;"&amp;DATE(2026,10,1))</x:f>
        <x:v>51</x:v>
      </x:c>
      <x:c r="D15" s="31" t="n">
        <x:f>C15-B15</x:f>
        <x:v>-15</x:v>
      </x:c>
      <x:c r="E15" s="31" t="n">
        <x:v>1755</x:v>
      </x:c>
      <x:c r="F15" s="31" t="n">
        <x:f>SUMIFS('Event Data'!$V$8:$V$340,'Event Data'!$B$8:$B$340,"&gt;="&amp;DATE(2025,10,1),'Event Data'!$B$8:$B$340,"&lt;"&amp;DATE(2026,10,1))</x:f>
        <x:v>7484</x:v>
      </x:c>
      <x:c r="G15" s="31" t="n">
        <x:f>F15-E15</x:f>
        <x:v>5729</x:v>
      </x:c>
      <x:c r="H15" s="29" t="n">
        <x:v>363.5</x:v>
      </x:c>
      <x:c r="I15" s="29" t="n">
        <x:f>SUMIFS('Event Data'!$J$8:$J$340,'Event Data'!$B$8:$B$340,"&gt;="&amp;DATE(2025,10,1),'Event Data'!$B$8:$B$340,"&lt;"&amp;DATE(2026,10,1))</x:f>
        <x:v>311.5</x:v>
      </x:c>
      <x:c r="J15" s="29" t="n">
        <x:f>ROUND(I15-H15,1)</x:f>
        <x:v>-52</x:v>
      </x:c>
      <x:c r="K15" s="29" t="n">
        <x:f>SUMIFS('Event Data'!$H$8:$H$340,'Event Data'!$B$8:$B$340,"&gt;="&amp;DATE(2025,10,1),'Event Data'!$B$8:$B$340,"&lt;"&amp;DATE(2026,10,1))</x:f>
        <x:v>195</x:v>
      </x:c>
      <x:c r="L15" s="29" t="n">
        <x:f>SUMIFS('Event Data'!$I$8:$I$340,'Event Data'!$B$8:$B$340,"&gt;="&amp;DATE(2025,10,1),'Event Data'!$B$8:$B$340,"&lt;"&amp;DATE(2026,10,1))</x:f>
        <x:v>188.5</x:v>
      </x:c>
      <x:c r="M15" s="31" t="str">
        <x:f>IF(A15="FY20",COUNTBLANK('Event Data'!$B$8:$B$340),"")</x:f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33" t="str">
        <x:v>How the source columns are used</x:v>
      </x:c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 ht="27" customHeight="1">
      <x:c r="A19" s="34" t="str">
        <x:v>Fiscal year</x:v>
      </x:c>
      <x:c r="B19" s="35" t="str">
        <x:v>Derived from Start Date. October–December belongs to the next FY.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7" customHeight="1">
      <x:c r="A20" s="34" t="str">
        <x:v>Attendance</x:v>
      </x:c>
      <x:c r="B20" s="35" t="str">
        <x:v>Uses Total in column V. The branch and age detail remains in columns K:U.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7" customHeight="1">
      <x:c r="A21" s="34" t="str">
        <x:v>Program hours</x:v>
      </x:c>
      <x:c r="B21" s="35" t="str">
        <x:v>Uses Program Hours in column J.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7" customHeight="1">
      <x:c r="A22" s="34" t="str">
        <x:v>Volunteers</x:v>
      </x:c>
      <x:c r="B22" s="35" t="str">
        <x:v>Uses Vol. in column H.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7" customHeight="1">
      <x:c r="A23" s="34" t="str">
        <x:v>Volunteer hours</x:v>
      </x:c>
      <x:c r="B23" s="35" t="str">
        <x:v>Uses Vol. Hours in column I.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7" customHeight="1">
      <x:c r="A24" s="34" t="str">
        <x:v>Families served</x:v>
      </x:c>
      <x:c r="B24" s="35" t="str">
        <x:v>Not present in this source. It is intentionally not estimated.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7" customHeight="1">
      <x:c r="A25" s="34" t="str">
        <x:v>Dates missing</x:v>
      </x:c>
      <x:c r="B25" s="35" t="str">
        <x:v>Two rows have no Start Date and cannot be placed in a fiscal-year total until dated.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</x:sheetData>
  <x:mergeCells>
    <x:mergeCell ref="A2:M2"/>
    <x:mergeCell ref="A5:M5"/>
    <x:mergeCell ref="A7:M7"/>
    <x:mergeCell ref="A18:M18"/>
    <x:mergeCell ref="B19:M19"/>
    <x:mergeCell ref="B20:M20"/>
    <x:mergeCell ref="B21:M21"/>
    <x:mergeCell ref="B22:M22"/>
    <x:mergeCell ref="B23:M23"/>
    <x:mergeCell ref="B24:M24"/>
    <x:mergeCell ref="B25:M25"/>
  </x:mergeCells>
  <x:conditionalFormatting sqref="D9:D15">
    <x:cfRule type="cellIs" dxfId="0" priority="1" operator="notEqual">
      <x:formula>0</x:formula>
    </x:cfRule>
  </x:conditionalFormatting>
  <x:conditionalFormatting sqref="G9:G15">
    <x:cfRule type="cellIs" dxfId="1" priority="2" operator="notEqual">
      <x:formula>0</x:formula>
    </x:cfRule>
  </x:conditionalFormatting>
  <x:conditionalFormatting sqref="J9:J15">
    <x:cfRule type="cellIs" dxfId="2" priority="3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4" hidden="0" customWidth="1"/>
    <x:col min="5" max="5" width="30" hidden="0" customWidth="1"/>
    <x:col min="6" max="6" width="18" hidden="0" customWidth="1"/>
    <x:col min="7" max="7" width="28" hidden="0" customWidth="1"/>
    <x:col min="8" max="8" width="10" hidden="0" customWidth="1"/>
    <x:col min="9" max="9" width="13" hidden="0" customWidth="1"/>
    <x:col min="10" max="10" width="13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2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1" hidden="0" customWidth="1"/>
    <x:col min="21" max="21" width="9" hidden="0" customWidth="1"/>
    <x:col min="22" max="22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Imported event data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5" t="str">
        <x:v>Source: Data - Sheet22.csv. Imported exactly through Total (column V). Columns W and later were excluded.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A6" s="5" t="str">
        <x:v>Fiscal year is calculated in FY Summary from Start Date: October–September. Two source rows without a Start Date are listed but excluded from fiscal-year totals.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42" customHeight="1">
      <x:c r="A7" s="10" t="str">
        <x:v>Month</x:v>
      </x:c>
      <x:c r="B7" s="11" t="str">
        <x:v>Start Date</x:v>
      </x:c>
      <x:c r="C7" s="11" t="str">
        <x:v>End Date</x:v>
      </x:c>
      <x:c r="D7" s="11" t="str">
        <x:v>Event Name</x:v>
      </x:c>
      <x:c r="E7" s="11" t="str">
        <x:v>Event Type</x:v>
      </x:c>
      <x:c r="F7" s="11" t="str">
        <x:v>Virtual /  In-Person</x:v>
      </x:c>
      <x:c r="G7" s="11" t="str">
        <x:v>Partners</x:v>
      </x:c>
      <x:c r="H7" s="11" t="str">
        <x:v>Vol.</x:v>
      </x:c>
      <x:c r="I7" s="11" t="str">
        <x:v>Vol.  Hours</x:v>
      </x:c>
      <x:c r="J7" s="11" t="str">
        <x:v>Prog.  Hours</x:v>
      </x:c>
      <x:c r="K7" s="11" t="str">
        <x:v>ARNG  Adults</x:v>
      </x:c>
      <x:c r="L7" s="11" t="str">
        <x:v>ANG  Adults</x:v>
      </x:c>
      <x:c r="M7" s="11" t="str">
        <x:v>Other Branch Adults</x:v>
      </x:c>
      <x:c r="N7" s="11" t="str">
        <x:v>ARNG 6-12</x:v>
      </x:c>
      <x:c r="O7" s="11" t="str">
        <x:v>ANG  6-12</x:v>
      </x:c>
      <x:c r="P7" s="11" t="str">
        <x:v>Other Branch  6-12</x:v>
      </x:c>
      <x:c r="Q7" s="11" t="str">
        <x:v>ARNG 13-18</x:v>
      </x:c>
      <x:c r="R7" s="11" t="str">
        <x:v>ANG 13-18</x:v>
      </x:c>
      <x:c r="S7" s="11" t="str">
        <x:v>Other  Branch 13-18</x:v>
      </x:c>
      <x:c r="T7" s="11" t="str">
        <x:v>Other</x:v>
      </x:c>
      <x:c r="U7" s="11" t="str">
        <x:v>0-5</x:v>
      </x:c>
      <x:c r="V7" s="12" t="str">
        <x:v>Total</x:v>
      </x:c>
    </x:row>
    <x:row r="8">
      <x:c r="A8" s="17" t="str">
        <x:v>March</x:v>
      </x:c>
      <x:c r="B8" s="18" t="str"/>
      <x:c r="C8" s="18" t="str"/>
      <x:c r="D8" s="17" t="str">
        <x:v>Des Moines Welcome Home</x:v>
      </x:c>
      <x:c r="E8" s="17" t="str">
        <x:v>Yellow Ribbon Briefing and Programming</x:v>
      </x:c>
      <x:c r="F8" s="17" t="str"/>
      <x:c r="G8" s="17" t="str"/>
      <x:c r="H8" s="19" t="n">
        <x:v>2</x:v>
      </x:c>
      <x:c r="I8" s="19" t="n">
        <x:v>2</x:v>
      </x:c>
      <x:c r="J8" s="20" t="n">
        <x:v>2</x:v>
      </x:c>
      <x:c r="K8" s="21" t="n">
        <x:v>80</x:v>
      </x:c>
      <x:c r="L8" s="21"/>
      <x:c r="M8" s="21"/>
      <x:c r="N8" s="21" t="n">
        <x:v>17</x:v>
      </x:c>
      <x:c r="O8" s="21"/>
      <x:c r="P8" s="21"/>
      <x:c r="Q8" s="21"/>
      <x:c r="R8" s="21"/>
      <x:c r="S8" s="21"/>
      <x:c r="T8" s="21"/>
      <x:c r="U8" s="21" t="n">
        <x:v>8</x:v>
      </x:c>
      <x:c r="V8" s="21" t="n">
        <x:v>105</x:v>
      </x:c>
    </x:row>
    <x:row r="9">
      <x:c r="A9" s="22" t="str">
        <x:v>April</x:v>
      </x:c>
      <x:c r="B9" s="23" t="str"/>
      <x:c r="C9" s="23" t="str"/>
      <x:c r="D9" s="22" t="str">
        <x:v>734 RSB Brief</x:v>
      </x:c>
      <x:c r="E9" s="22" t="str">
        <x:v>Command/Unit/FRG Briefings</x:v>
      </x:c>
      <x:c r="F9" s="22" t="str"/>
      <x:c r="G9" s="22" t="str"/>
      <x:c r="H9" s="24" t="n">
        <x:v>1</x:v>
      </x:c>
      <x:c r="I9" s="24" t="n">
        <x:v>2</x:v>
      </x:c>
      <x:c r="J9" s="25" t="n">
        <x:v>0.5</x:v>
      </x:c>
      <x:c r="K9" s="26" t="n">
        <x:v>300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 t="n">
        <x:v>300</x:v>
      </x:c>
    </x:row>
    <x:row r="10">
      <x:c r="A10" s="22" t="str">
        <x:v>October</x:v>
      </x:c>
      <x:c r="B10" s="23" t="n">
        <x:v>43744</x:v>
      </x:c>
      <x:c r="C10" s="23" t="n">
        <x:v>43744</x:v>
      </x:c>
      <x:c r="D10" s="22" t="str">
        <x:v>Fall Festival Sioux City</x:v>
      </x:c>
      <x:c r="E10" s="22" t="str">
        <x:v>Community Outreach, Briefings and Events</x:v>
      </x:c>
      <x:c r="F10" s="22" t="str"/>
      <x:c r="G10" s="22" t="str"/>
      <x:c r="H10" s="24"/>
      <x:c r="I10" s="24"/>
      <x:c r="J10" s="25"/>
      <x:c r="K10" s="26"/>
      <x:c r="L10" s="26" t="n">
        <x:v>125</x:v>
      </x:c>
      <x:c r="M10" s="26" t="n">
        <x:v>25</x:v>
      </x:c>
      <x:c r="N10" s="26"/>
      <x:c r="O10" s="26" t="n">
        <x:v>75</x:v>
      </x:c>
      <x:c r="P10" s="26"/>
      <x:c r="Q10" s="26"/>
      <x:c r="R10" s="26" t="n">
        <x:v>50</x:v>
      </x:c>
      <x:c r="S10" s="26"/>
      <x:c r="T10" s="26" t="n">
        <x:v>25</x:v>
      </x:c>
      <x:c r="U10" s="26"/>
      <x:c r="V10" s="26" t="n">
        <x:v>300</x:v>
      </x:c>
    </x:row>
    <x:row r="11">
      <x:c r="A11" s="22" t="str">
        <x:v>October</x:v>
      </x:c>
      <x:c r="B11" s="23" t="n">
        <x:v>43746</x:v>
      </x:c>
      <x:c r="C11" s="23" t="n">
        <x:v>43746</x:v>
      </x:c>
      <x:c r="D11" s="22" t="str">
        <x:v>Patching Ceremony</x:v>
      </x:c>
      <x:c r="E11" s="22" t="str">
        <x:v>Command/Unit/FRG Briefings</x:v>
      </x:c>
      <x:c r="F11" s="22" t="str"/>
      <x:c r="G11" s="22" t="str"/>
      <x:c r="H11" s="24"/>
      <x:c r="I11" s="24"/>
      <x:c r="J11" s="25"/>
      <x:c r="K11" s="26" t="n">
        <x:v>20</x:v>
      </x:c>
      <x:c r="L11" s="26"/>
      <x:c r="M11" s="26"/>
      <x:c r="N11" s="26" t="n">
        <x:v>2</x:v>
      </x:c>
      <x:c r="O11" s="26"/>
      <x:c r="P11" s="26"/>
      <x:c r="Q11" s="26" t="n">
        <x:v>2</x:v>
      </x:c>
      <x:c r="R11" s="26"/>
      <x:c r="S11" s="26"/>
      <x:c r="T11" s="26"/>
      <x:c r="U11" s="26"/>
      <x:c r="V11" s="26" t="n">
        <x:v>24</x:v>
      </x:c>
    </x:row>
    <x:row r="12">
      <x:c r="A12" s="22" t="str">
        <x:v>October</x:v>
      </x:c>
      <x:c r="B12" s="23" t="n">
        <x:v>43757</x:v>
      </x:c>
      <x:c r="C12" s="23" t="n">
        <x:v>43757</x:v>
      </x:c>
      <x:c r="D12" s="22" t="str">
        <x:v>Military Monster Ball</x:v>
      </x:c>
      <x:c r="E12" s="22" t="str">
        <x:v>Partnered Event or Activity</x:v>
      </x:c>
      <x:c r="F12" s="22" t="str"/>
      <x:c r="G12" s="22" t="str"/>
      <x:c r="H12" s="24" t="n">
        <x:v>12</x:v>
      </x:c>
      <x:c r="I12" s="24" t="n">
        <x:v>4</x:v>
      </x:c>
      <x:c r="J12" s="25" t="n">
        <x:v>4</x:v>
      </x:c>
      <x:c r="K12" s="26" t="n">
        <x:v>31</x:v>
      </x:c>
      <x:c r="L12" s="26" t="n">
        <x:v>52</x:v>
      </x:c>
      <x:c r="M12" s="26" t="n">
        <x:v>25</x:v>
      </x:c>
      <x:c r="N12" s="26" t="n">
        <x:v>16</x:v>
      </x:c>
      <x:c r="O12" s="26" t="n">
        <x:v>54</x:v>
      </x:c>
      <x:c r="P12" s="26"/>
      <x:c r="Q12" s="26" t="n">
        <x:v>5</x:v>
      </x:c>
      <x:c r="R12" s="26" t="n">
        <x:v>8</x:v>
      </x:c>
      <x:c r="S12" s="26"/>
      <x:c r="T12" s="26"/>
      <x:c r="U12" s="26"/>
      <x:c r="V12" s="26" t="n">
        <x:v>191</x:v>
      </x:c>
    </x:row>
    <x:row r="13">
      <x:c r="A13" s="22" t="str">
        <x:v>October</x:v>
      </x:c>
      <x:c r="B13" s="23" t="n">
        <x:v>43765</x:v>
      </x:c>
      <x:c r="C13" s="23" t="str"/>
      <x:c r="D13" s="22" t="str">
        <x:v>Des Moines Fall Family Festival</x:v>
      </x:c>
      <x:c r="E13" s="22" t="str">
        <x:v>Partnered Event or Activity</x:v>
      </x:c>
      <x:c r="F13" s="22" t="str"/>
      <x:c r="G13" s="22" t="str"/>
      <x:c r="H13" s="24" t="n">
        <x:v>84</x:v>
      </x:c>
      <x:c r="I13" s="24" t="n">
        <x:v>2</x:v>
      </x:c>
      <x:c r="J13" s="25" t="n">
        <x:v>2</x:v>
      </x:c>
      <x:c r="K13" s="26" t="n">
        <x:v>125</x:v>
      </x:c>
      <x:c r="L13" s="26"/>
      <x:c r="M13" s="26" t="n">
        <x:v>13</x:v>
      </x:c>
      <x:c r="N13" s="26" t="n">
        <x:v>110</x:v>
      </x:c>
      <x:c r="O13" s="26" t="n">
        <x:v>15</x:v>
      </x:c>
      <x:c r="P13" s="26" t="n">
        <x:v>40</x:v>
      </x:c>
      <x:c r="Q13" s="26" t="n">
        <x:v>53</x:v>
      </x:c>
      <x:c r="R13" s="26" t="n">
        <x:v>10</x:v>
      </x:c>
      <x:c r="S13" s="26"/>
      <x:c r="T13" s="26"/>
      <x:c r="U13" s="26"/>
      <x:c r="V13" s="26" t="n">
        <x:v>366</x:v>
      </x:c>
    </x:row>
    <x:row r="14">
      <x:c r="A14" s="22" t="str">
        <x:v>November</x:v>
      </x:c>
      <x:c r="B14" s="23" t="n">
        <x:v>43778</x:v>
      </x:c>
      <x:c r="C14" s="23" t="str"/>
      <x:c r="D14" s="22" t="str">
        <x:v>Veterans Day Program</x:v>
      </x:c>
      <x:c r="E14" s="22" t="str">
        <x:v>Partnered Event or Activity</x:v>
      </x:c>
      <x:c r="F14" s="22" t="str"/>
      <x:c r="G14" s="22" t="str"/>
      <x:c r="H14" s="24"/>
      <x:c r="I14" s="24"/>
      <x:c r="J14" s="25"/>
      <x:c r="K14" s="26" t="n">
        <x:v>20</x:v>
      </x:c>
      <x:c r="L14" s="26"/>
      <x:c r="M14" s="26" t="n">
        <x:v>160</x:v>
      </x:c>
      <x:c r="N14" s="26" t="n">
        <x:v>15</x:v>
      </x:c>
      <x:c r="O14" s="26"/>
      <x:c r="P14" s="26"/>
      <x:c r="Q14" s="26" t="n">
        <x:v>5</x:v>
      </x:c>
      <x:c r="R14" s="26"/>
      <x:c r="S14" s="26"/>
      <x:c r="T14" s="26"/>
      <x:c r="U14" s="26"/>
      <x:c r="V14" s="26" t="n">
        <x:v>200</x:v>
      </x:c>
    </x:row>
    <x:row r="15">
      <x:c r="A15" s="22" t="str">
        <x:v>November</x:v>
      </x:c>
      <x:c r="B15" s="23" t="n">
        <x:v>43792</x:v>
      </x:c>
      <x:c r="C15" s="23" t="str"/>
      <x:c r="D15" s="22" t="str">
        <x:v>MFE Ninja Warrior Junior</x:v>
      </x:c>
      <x:c r="E15" s="22" t="str">
        <x:v>Partnered Event or Activity</x:v>
      </x:c>
      <x:c r="F15" s="22" t="str"/>
      <x:c r="G15" s="22" t="str"/>
      <x:c r="H15" s="24" t="n">
        <x:v>1</x:v>
      </x:c>
      <x:c r="I15" s="24" t="n">
        <x:v>2</x:v>
      </x:c>
      <x:c r="J15" s="25" t="n">
        <x:v>2</x:v>
      </x:c>
      <x:c r="K15" s="26" t="n">
        <x:v>46</x:v>
      </x:c>
      <x:c r="L15" s="26" t="n">
        <x:v>6</x:v>
      </x:c>
      <x:c r="M15" s="26"/>
      <x:c r="N15" s="26" t="n">
        <x:v>40</x:v>
      </x:c>
      <x:c r="O15" s="26" t="n">
        <x:v>13</x:v>
      </x:c>
      <x:c r="P15" s="26"/>
      <x:c r="Q15" s="26" t="n">
        <x:v>4</x:v>
      </x:c>
      <x:c r="R15" s="26"/>
      <x:c r="S15" s="26"/>
      <x:c r="T15" s="26"/>
      <x:c r="U15" s="26"/>
      <x:c r="V15" s="26" t="n">
        <x:v>109</x:v>
      </x:c>
    </x:row>
    <x:row r="16">
      <x:c r="A16" s="22" t="str">
        <x:v>November</x:v>
      </x:c>
      <x:c r="B16" s="23" t="n">
        <x:v>43794</x:v>
      </x:c>
      <x:c r="C16" s="23" t="str"/>
      <x:c r="D16" s="22" t="str">
        <x:v>Summit Middle School Military Support Meeting</x:v>
      </x:c>
      <x:c r="E16" s="22" t="str">
        <x:v>Education Outreach and School Support Groups</x:v>
      </x:c>
      <x:c r="F16" s="22" t="str"/>
      <x:c r="G16" s="22" t="str"/>
      <x:c r="H16" s="24"/>
      <x:c r="I16" s="24"/>
      <x:c r="J16" s="25"/>
      <x:c r="K16" s="26"/>
      <x:c r="L16" s="26"/>
      <x:c r="M16" s="26" t="n">
        <x:v>5</x:v>
      </x:c>
      <x:c r="N16" s="26"/>
      <x:c r="O16" s="26"/>
      <x:c r="P16" s="26"/>
      <x:c r="Q16" s="26"/>
      <x:c r="R16" s="26"/>
      <x:c r="S16" s="26"/>
      <x:c r="T16" s="26"/>
      <x:c r="U16" s="26"/>
      <x:c r="V16" s="26" t="n">
        <x:v>5</x:v>
      </x:c>
    </x:row>
    <x:row r="17">
      <x:c r="A17" s="22" t="str">
        <x:v>December</x:v>
      </x:c>
      <x:c r="B17" s="23" t="n">
        <x:v>43804</x:v>
      </x:c>
      <x:c r="C17" s="23" t="str"/>
      <x:c r="D17" s="22" t="str">
        <x:v>Joining Community Forces</x:v>
      </x:c>
      <x:c r="E17" s="22" t="str">
        <x:v>Community Outreach, Briefings and Events</x:v>
      </x:c>
      <x:c r="F17" s="22" t="str"/>
      <x:c r="G17" s="22" t="str"/>
      <x:c r="H17" s="24"/>
      <x:c r="I17" s="24"/>
      <x:c r="J17" s="25"/>
      <x:c r="K17" s="26" t="n">
        <x:v>26</x:v>
      </x:c>
      <x:c r="L17" s="26"/>
      <x:c r="M17" s="26" t="n">
        <x:v>20</x:v>
      </x:c>
      <x:c r="N17" s="26"/>
      <x:c r="O17" s="26"/>
      <x:c r="P17" s="26"/>
      <x:c r="Q17" s="26"/>
      <x:c r="R17" s="26"/>
      <x:c r="S17" s="26"/>
      <x:c r="T17" s="26"/>
      <x:c r="U17" s="26"/>
      <x:c r="V17" s="26" t="n">
        <x:v>46</x:v>
      </x:c>
    </x:row>
    <x:row r="18">
      <x:c r="A18" s="22" t="str">
        <x:v>December</x:v>
      </x:c>
      <x:c r="B18" s="23" t="n">
        <x:v>43804</x:v>
      </x:c>
      <x:c r="C18" s="23" t="str"/>
      <x:c r="D18" s="22" t="str">
        <x:v>132nd Holiday Party</x:v>
      </x:c>
      <x:c r="E18" s="22" t="str">
        <x:v>Family Days and Military Appreciation Events</x:v>
      </x:c>
      <x:c r="F18" s="22" t="str"/>
      <x:c r="G18" s="22" t="str"/>
      <x:c r="H18" s="24"/>
      <x:c r="I18" s="24"/>
      <x:c r="J18" s="25" t="n">
        <x:v>3</x:v>
      </x:c>
      <x:c r="K18" s="26"/>
      <x:c r="L18" s="26" t="n">
        <x:v>17</x:v>
      </x:c>
      <x:c r="M18" s="26"/>
      <x:c r="N18" s="26"/>
      <x:c r="O18" s="26" t="n">
        <x:v>12</x:v>
      </x:c>
      <x:c r="P18" s="26"/>
      <x:c r="Q18" s="26"/>
      <x:c r="R18" s="26" t="n">
        <x:v>2</x:v>
      </x:c>
      <x:c r="S18" s="26"/>
      <x:c r="T18" s="26"/>
      <x:c r="U18" s="26"/>
      <x:c r="V18" s="26" t="n">
        <x:v>31</x:v>
      </x:c>
    </x:row>
    <x:row r="19">
      <x:c r="A19" s="22" t="str">
        <x:v>December</x:v>
      </x:c>
      <x:c r="B19" s="23" t="n">
        <x:v>43805</x:v>
      </x:c>
      <x:c r="C19" s="23" t="str"/>
      <x:c r="D19" s="22" t="str">
        <x:v>132nd Holiday Party</x:v>
      </x:c>
      <x:c r="E19" s="22" t="str">
        <x:v>Family Days and Military Appreciation Events</x:v>
      </x:c>
      <x:c r="F19" s="22" t="str"/>
      <x:c r="G19" s="22" t="str"/>
      <x:c r="H19" s="24"/>
      <x:c r="I19" s="24"/>
      <x:c r="J19" s="25" t="n">
        <x:v>4</x:v>
      </x:c>
      <x:c r="K19" s="26"/>
      <x:c r="L19" s="26" t="n">
        <x:v>160</x:v>
      </x:c>
      <x:c r="M19" s="26"/>
      <x:c r="N19" s="26"/>
      <x:c r="O19" s="26" t="n">
        <x:v>37</x:v>
      </x:c>
      <x:c r="P19" s="26"/>
      <x:c r="Q19" s="26"/>
      <x:c r="R19" s="26" t="n">
        <x:v>10</x:v>
      </x:c>
      <x:c r="S19" s="26"/>
      <x:c r="T19" s="26"/>
      <x:c r="U19" s="26"/>
      <x:c r="V19" s="26" t="n">
        <x:v>207</x:v>
      </x:c>
    </x:row>
    <x:row r="20">
      <x:c r="A20" s="22" t="str">
        <x:v>December</x:v>
      </x:c>
      <x:c r="B20" s="23" t="n">
        <x:v>43806</x:v>
      </x:c>
      <x:c r="C20" s="23" t="str"/>
      <x:c r="D20" s="22" t="str">
        <x:v>JFHQ Holiday Party</x:v>
      </x:c>
      <x:c r="E20" s="22" t="str">
        <x:v>Family Days and Military Appreciation Events</x:v>
      </x:c>
      <x:c r="F20" s="22" t="str"/>
      <x:c r="G20" s="22" t="str"/>
      <x:c r="H20" s="24" t="n">
        <x:v>2</x:v>
      </x:c>
      <x:c r="I20" s="24" t="n">
        <x:v>4</x:v>
      </x:c>
      <x:c r="J20" s="25"/>
      <x:c r="K20" s="26"/>
      <x:c r="L20" s="26"/>
      <x:c r="M20" s="26"/>
      <x:c r="N20" s="26" t="n">
        <x:v>11</x:v>
      </x:c>
      <x:c r="O20" s="26"/>
      <x:c r="P20" s="26"/>
      <x:c r="Q20" s="26" t="n">
        <x:v>8</x:v>
      </x:c>
      <x:c r="R20" s="26"/>
      <x:c r="S20" s="26"/>
      <x:c r="T20" s="26"/>
      <x:c r="U20" s="26"/>
      <x:c r="V20" s="26" t="n">
        <x:v>19</x:v>
      </x:c>
    </x:row>
    <x:row r="21">
      <x:c r="A21" s="22" t="str">
        <x:v>December</x:v>
      </x:c>
      <x:c r="B21" s="23" t="n">
        <x:v>43817</x:v>
      </x:c>
      <x:c r="C21" s="23" t="str"/>
      <x:c r="D21" s="22" t="str">
        <x:v>State Teen Panel</x:v>
      </x:c>
      <x:c r="E21" s="22" t="str">
        <x:v>Teen Council Meeting or Training</x:v>
      </x:c>
      <x:c r="F21" s="22" t="str"/>
      <x:c r="G21" s="22" t="str"/>
      <x:c r="H21" s="24"/>
      <x:c r="I21" s="24"/>
      <x:c r="J21" s="25" t="n">
        <x:v>1</x:v>
      </x:c>
      <x:c r="K21" s="26"/>
      <x:c r="L21" s="26"/>
      <x:c r="M21" s="26"/>
      <x:c r="N21" s="26"/>
      <x:c r="O21" s="26"/>
      <x:c r="P21" s="26"/>
      <x:c r="Q21" s="26" t="n">
        <x:v>2</x:v>
      </x:c>
      <x:c r="R21" s="26" t="n">
        <x:v>3</x:v>
      </x:c>
      <x:c r="S21" s="26"/>
      <x:c r="T21" s="26"/>
      <x:c r="U21" s="26"/>
      <x:c r="V21" s="26" t="n">
        <x:v>5</x:v>
      </x:c>
    </x:row>
    <x:row r="22">
      <x:c r="A22" s="22" t="str">
        <x:v>January</x:v>
      </x:c>
      <x:c r="B22" s="23" t="n">
        <x:v>43842</x:v>
      </x:c>
      <x:c r="C22" s="23" t="str"/>
      <x:c r="D22" s="22" t="str">
        <x:v>Unit Brief</x:v>
      </x:c>
      <x:c r="E22" s="22" t="str">
        <x:v>Command/Unit/FRG Briefings</x:v>
      </x:c>
      <x:c r="F22" s="22" t="str"/>
      <x:c r="G22" s="22" t="str"/>
      <x:c r="H22" s="24"/>
      <x:c r="I22" s="24"/>
      <x:c r="J22" s="25"/>
      <x:c r="K22" s="26" t="n">
        <x:v>25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 t="n">
        <x:v>25</x:v>
      </x:c>
    </x:row>
    <x:row r="23">
      <x:c r="A23" s="22" t="str">
        <x:v>January</x:v>
      </x:c>
      <x:c r="B23" s="23" t="n">
        <x:v>43846</x:v>
      </x:c>
      <x:c r="C23" s="23" t="str"/>
      <x:c r="D23" s="22" t="str">
        <x:v>Patching Ceremony</x:v>
      </x:c>
      <x:c r="E23" s="22" t="str">
        <x:v>Command/Unit/FRG Briefings</x:v>
      </x:c>
      <x:c r="F23" s="22" t="str"/>
      <x:c r="G23" s="22" t="str"/>
      <x:c r="H23" s="24"/>
      <x:c r="I23" s="24"/>
      <x:c r="J23" s="25"/>
      <x:c r="K23" s="26" t="n">
        <x:v>78</x:v>
      </x:c>
      <x:c r="L23" s="26"/>
      <x:c r="M23" s="26"/>
      <x:c r="N23" s="26"/>
      <x:c r="O23" s="26"/>
      <x:c r="P23" s="26"/>
      <x:c r="Q23" s="26" t="n">
        <x:v>8</x:v>
      </x:c>
      <x:c r="R23" s="26"/>
      <x:c r="S23" s="26"/>
      <x:c r="T23" s="26"/>
      <x:c r="U23" s="26"/>
      <x:c r="V23" s="26" t="n">
        <x:v>86</x:v>
      </x:c>
    </x:row>
    <x:row r="24">
      <x:c r="A24" s="22" t="str">
        <x:v>January</x:v>
      </x:c>
      <x:c r="B24" s="23" t="n">
        <x:v>43846</x:v>
      </x:c>
      <x:c r="C24" s="23" t="str"/>
      <x:c r="D24" s="22" t="str">
        <x:v>Patching Ceremony</x:v>
      </x:c>
      <x:c r="E24" s="22" t="str">
        <x:v>Command/Unit/FRG Briefings</x:v>
      </x:c>
      <x:c r="F24" s="22" t="str"/>
      <x:c r="G24" s="22" t="str"/>
      <x:c r="H24" s="24"/>
      <x:c r="I24" s="24"/>
      <x:c r="J24" s="25"/>
      <x:c r="K24" s="26" t="n">
        <x:v>64</x:v>
      </x:c>
      <x:c r="L24" s="26"/>
      <x:c r="M24" s="26"/>
      <x:c r="N24" s="26" t="n">
        <x:v>10</x:v>
      </x:c>
      <x:c r="O24" s="26"/>
      <x:c r="P24" s="26"/>
      <x:c r="Q24" s="26"/>
      <x:c r="R24" s="26"/>
      <x:c r="S24" s="26"/>
      <x:c r="T24" s="26"/>
      <x:c r="U24" s="26"/>
      <x:c r="V24" s="26" t="n">
        <x:v>74</x:v>
      </x:c>
    </x:row>
    <x:row r="25">
      <x:c r="A25" s="22" t="str">
        <x:v>January</x:v>
      </x:c>
      <x:c r="B25" s="23" t="n">
        <x:v>43848</x:v>
      </x:c>
      <x:c r="C25" s="23" t="str"/>
      <x:c r="D25" s="22" t="str">
        <x:v>Military Family Ball</x:v>
      </x:c>
      <x:c r="E25" s="22" t="str">
        <x:v>Partnered Event or Activity</x:v>
      </x:c>
      <x:c r="F25" s="22" t="str"/>
      <x:c r="G25" s="22" t="str"/>
      <x:c r="H25" s="24"/>
      <x:c r="I25" s="24"/>
      <x:c r="J25" s="25" t="n">
        <x:v>3</x:v>
      </x:c>
      <x:c r="K25" s="26" t="n">
        <x:v>50</x:v>
      </x:c>
      <x:c r="L25" s="26" t="n">
        <x:v>13</x:v>
      </x:c>
      <x:c r="M25" s="26"/>
      <x:c r="N25" s="26" t="n">
        <x:v>31</x:v>
      </x:c>
      <x:c r="O25" s="26" t="n">
        <x:v>7</x:v>
      </x:c>
      <x:c r="P25" s="26" t="n">
        <x:v>9</x:v>
      </x:c>
      <x:c r="Q25" s="26" t="n">
        <x:v>6</x:v>
      </x:c>
      <x:c r="R25" s="26" t="n">
        <x:v>3</x:v>
      </x:c>
      <x:c r="S25" s="26"/>
      <x:c r="T25" s="26"/>
      <x:c r="U25" s="26"/>
      <x:c r="V25" s="26" t="n">
        <x:v>119</x:v>
      </x:c>
    </x:row>
    <x:row r="26">
      <x:c r="A26" s="22" t="str">
        <x:v>January</x:v>
      </x:c>
      <x:c r="B26" s="23" t="n">
        <x:v>43848</x:v>
      </x:c>
      <x:c r="C26" s="23" t="str"/>
      <x:c r="D26" s="22" t="str">
        <x:v>Marketing Workgroup</x:v>
      </x:c>
      <x:c r="E26" s="22" t="str">
        <x:v>Partnered Event or Activity</x:v>
      </x:c>
      <x:c r="F26" s="22" t="str"/>
      <x:c r="G26" s="22" t="str"/>
      <x:c r="H26" s="24"/>
      <x:c r="I26" s="24"/>
      <x:c r="J26" s="25"/>
      <x:c r="K26" s="26" t="n">
        <x:v>10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 t="n">
        <x:v>10</x:v>
      </x:c>
    </x:row>
    <x:row r="27">
      <x:c r="A27" s="22" t="str">
        <x:v>January</x:v>
      </x:c>
      <x:c r="B27" s="23" t="n">
        <x:v>43851</x:v>
      </x:c>
      <x:c r="C27" s="23" t="str"/>
      <x:c r="D27" s="22" t="str">
        <x:v>Family Programs Chaplain Brief</x:v>
      </x:c>
      <x:c r="E27" s="22" t="str">
        <x:v>Command/Unit/FRG Briefings</x:v>
      </x:c>
      <x:c r="F27" s="22" t="str"/>
      <x:c r="G27" s="22" t="str"/>
      <x:c r="H27" s="24"/>
      <x:c r="I27" s="24"/>
      <x:c r="J27" s="25"/>
      <x:c r="K27" s="26" t="n">
        <x:v>26</x:v>
      </x:c>
      <x:c r="L27" s="26" t="n">
        <x:v>12</x:v>
      </x:c>
      <x:c r="M27" s="26"/>
      <x:c r="N27" s="26"/>
      <x:c r="O27" s="26"/>
      <x:c r="P27" s="26"/>
      <x:c r="Q27" s="26"/>
      <x:c r="R27" s="26"/>
      <x:c r="S27" s="26"/>
      <x:c r="T27" s="26"/>
      <x:c r="U27" s="26"/>
      <x:c r="V27" s="26" t="n">
        <x:v>38</x:v>
      </x:c>
    </x:row>
    <x:row r="28">
      <x:c r="A28" s="22" t="str">
        <x:v>January</x:v>
      </x:c>
      <x:c r="B28" s="23" t="n">
        <x:v>43853</x:v>
      </x:c>
      <x:c r="C28" s="23" t="str"/>
      <x:c r="D28" s="22" t="str">
        <x:v>State Teen Panel</x:v>
      </x:c>
      <x:c r="E28" s="22" t="str">
        <x:v>Teen Council Meeting or Training</x:v>
      </x:c>
      <x:c r="F28" s="22" t="str"/>
      <x:c r="G28" s="22" t="str"/>
      <x:c r="H28" s="24"/>
      <x:c r="I28" s="24"/>
      <x:c r="J28" s="25" t="n">
        <x:v>1</x:v>
      </x:c>
      <x:c r="K28" s="26"/>
      <x:c r="L28" s="26"/>
      <x:c r="M28" s="26"/>
      <x:c r="N28" s="26"/>
      <x:c r="O28" s="26"/>
      <x:c r="P28" s="26"/>
      <x:c r="Q28" s="26" t="n">
        <x:v>2</x:v>
      </x:c>
      <x:c r="R28" s="26" t="n">
        <x:v>3</x:v>
      </x:c>
      <x:c r="S28" s="26"/>
      <x:c r="T28" s="26"/>
      <x:c r="U28" s="26"/>
      <x:c r="V28" s="26" t="n">
        <x:v>5</x:v>
      </x:c>
    </x:row>
    <x:row r="29">
      <x:c r="A29" s="22" t="str">
        <x:v>February</x:v>
      </x:c>
      <x:c r="B29" s="23" t="n">
        <x:v>43866</x:v>
      </x:c>
      <x:c r="C29" s="23" t="str"/>
      <x:c r="D29" s="22" t="str">
        <x:v>STP 1:1</x:v>
      </x:c>
      <x:c r="E29" s="22" t="str">
        <x:v>Teen Council Meeting or Training</x:v>
      </x:c>
      <x:c r="F29" s="22" t="str"/>
      <x:c r="G29" s="22" t="str"/>
      <x:c r="H29" s="24"/>
      <x:c r="I29" s="24"/>
      <x:c r="J29" s="25" t="n">
        <x:v>0.5</x:v>
      </x:c>
      <x:c r="K29" s="26"/>
      <x:c r="L29" s="26"/>
      <x:c r="M29" s="26"/>
      <x:c r="N29" s="26"/>
      <x:c r="O29" s="26"/>
      <x:c r="P29" s="26"/>
      <x:c r="Q29" s="26" t="n">
        <x:v>1</x:v>
      </x:c>
      <x:c r="R29" s="26"/>
      <x:c r="S29" s="26"/>
      <x:c r="T29" s="26"/>
      <x:c r="U29" s="26"/>
      <x:c r="V29" s="26" t="n">
        <x:v>1</x:v>
      </x:c>
    </x:row>
    <x:row r="30">
      <x:c r="A30" s="22" t="str">
        <x:v>February</x:v>
      </x:c>
      <x:c r="B30" s="23" t="n">
        <x:v>43872</x:v>
      </x:c>
      <x:c r="C30" s="23" t="str"/>
      <x:c r="D30" s="22" t="str">
        <x:v>Patching Ceremony</x:v>
      </x:c>
      <x:c r="E30" s="22" t="str">
        <x:v>Command/Unit/FRG Briefings</x:v>
      </x:c>
      <x:c r="F30" s="22" t="str"/>
      <x:c r="G30" s="22" t="str"/>
      <x:c r="H30" s="24"/>
      <x:c r="I30" s="24"/>
      <x:c r="J30" s="25"/>
      <x:c r="K30" s="26" t="n">
        <x:v>78</x:v>
      </x:c>
      <x:c r="L30" s="26"/>
      <x:c r="M30" s="26"/>
      <x:c r="N30" s="26" t="n">
        <x:v>8</x:v>
      </x:c>
      <x:c r="O30" s="26"/>
      <x:c r="P30" s="26"/>
      <x:c r="Q30" s="26" t="n">
        <x:v>4</x:v>
      </x:c>
      <x:c r="R30" s="26"/>
      <x:c r="S30" s="26"/>
      <x:c r="T30" s="26"/>
      <x:c r="U30" s="26"/>
      <x:c r="V30" s="26" t="n">
        <x:v>90</x:v>
      </x:c>
    </x:row>
    <x:row r="31">
      <x:c r="A31" s="22" t="str">
        <x:v>February</x:v>
      </x:c>
      <x:c r="B31" s="23" t="n">
        <x:v>43872</x:v>
      </x:c>
      <x:c r="C31" s="23" t="str"/>
      <x:c r="D31" s="22" t="str">
        <x:v>JCF (Waterloo)</x:v>
      </x:c>
      <x:c r="E31" s="22" t="str">
        <x:v>Community Outreach, Briefings and Events</x:v>
      </x:c>
      <x:c r="F31" s="22" t="str"/>
      <x:c r="G31" s="22" t="str"/>
      <x:c r="H31" s="24"/>
      <x:c r="I31" s="24"/>
      <x:c r="J31" s="25"/>
      <x:c r="K31" s="26" t="n">
        <x:v>12</x:v>
      </x:c>
      <x:c r="L31" s="26" t="n">
        <x:v>1</x:v>
      </x:c>
      <x:c r="M31" s="26" t="n">
        <x:v>60</x:v>
      </x:c>
      <x:c r="N31" s="26"/>
      <x:c r="O31" s="26"/>
      <x:c r="P31" s="26"/>
      <x:c r="Q31" s="26"/>
      <x:c r="R31" s="26"/>
      <x:c r="S31" s="26"/>
      <x:c r="T31" s="26"/>
      <x:c r="U31" s="26"/>
      <x:c r="V31" s="26" t="n">
        <x:v>73</x:v>
      </x:c>
    </x:row>
    <x:row r="32">
      <x:c r="A32" s="22" t="str">
        <x:v>February</x:v>
      </x:c>
      <x:c r="B32" s="23" t="n">
        <x:v>43880</x:v>
      </x:c>
      <x:c r="C32" s="23" t="str"/>
      <x:c r="D32" s="22" t="str">
        <x:v>STP 1:1</x:v>
      </x:c>
      <x:c r="E32" s="22" t="str">
        <x:v>Teen Council Meeting or Training</x:v>
      </x:c>
      <x:c r="F32" s="22" t="str"/>
      <x:c r="G32" s="22" t="str"/>
      <x:c r="H32" s="24"/>
      <x:c r="I32" s="24"/>
      <x:c r="J32" s="25" t="n">
        <x:v>0.5</x:v>
      </x:c>
      <x:c r="K32" s="26"/>
      <x:c r="L32" s="26"/>
      <x:c r="M32" s="26"/>
      <x:c r="N32" s="26"/>
      <x:c r="O32" s="26"/>
      <x:c r="P32" s="26"/>
      <x:c r="Q32" s="26" t="n">
        <x:v>1</x:v>
      </x:c>
      <x:c r="R32" s="26"/>
      <x:c r="S32" s="26"/>
      <x:c r="T32" s="26"/>
      <x:c r="U32" s="26"/>
      <x:c r="V32" s="26" t="n">
        <x:v>1</x:v>
      </x:c>
    </x:row>
    <x:row r="33">
      <x:c r="A33" s="22" t="str">
        <x:v>February</x:v>
      </x:c>
      <x:c r="B33" s="23" t="n">
        <x:v>43880</x:v>
      </x:c>
      <x:c r="C33" s="23" t="str"/>
      <x:c r="D33" s="22" t="str">
        <x:v>STP 1:1</x:v>
      </x:c>
      <x:c r="E33" s="22" t="str">
        <x:v>Teen Council Meeting or Training</x:v>
      </x:c>
      <x:c r="F33" s="22" t="str"/>
      <x:c r="G33" s="22" t="str"/>
      <x:c r="H33" s="24"/>
      <x:c r="I33" s="24"/>
      <x:c r="J33" s="25" t="n">
        <x:v>0.5</x:v>
      </x:c>
      <x:c r="K33" s="26"/>
      <x:c r="L33" s="26"/>
      <x:c r="M33" s="26"/>
      <x:c r="N33" s="26"/>
      <x:c r="O33" s="26"/>
      <x:c r="P33" s="26"/>
      <x:c r="Q33" s="26" t="n">
        <x:v>1</x:v>
      </x:c>
      <x:c r="R33" s="26"/>
      <x:c r="S33" s="26"/>
      <x:c r="T33" s="26"/>
      <x:c r="U33" s="26"/>
      <x:c r="V33" s="26" t="n">
        <x:v>1</x:v>
      </x:c>
    </x:row>
    <x:row r="34">
      <x:c r="A34" s="22" t="str">
        <x:v>February</x:v>
      </x:c>
      <x:c r="B34" s="23" t="n">
        <x:v>43881</x:v>
      </x:c>
      <x:c r="C34" s="23" t="str"/>
      <x:c r="D34" s="22" t="str">
        <x:v>STP 1:1</x:v>
      </x:c>
      <x:c r="E34" s="22" t="str">
        <x:v>Teen Council Meeting or Training</x:v>
      </x:c>
      <x:c r="F34" s="22" t="str"/>
      <x:c r="G34" s="22" t="str"/>
      <x:c r="H34" s="24"/>
      <x:c r="I34" s="24"/>
      <x:c r="J34" s="25" t="n">
        <x:v>0.5</x:v>
      </x:c>
      <x:c r="K34" s="26"/>
      <x:c r="L34" s="26"/>
      <x:c r="M34" s="26"/>
      <x:c r="N34" s="26"/>
      <x:c r="O34" s="26"/>
      <x:c r="P34" s="26"/>
      <x:c r="Q34" s="26" t="n">
        <x:v>1</x:v>
      </x:c>
      <x:c r="R34" s="26"/>
      <x:c r="S34" s="26"/>
      <x:c r="T34" s="26"/>
      <x:c r="U34" s="26"/>
      <x:c r="V34" s="26" t="n">
        <x:v>1</x:v>
      </x:c>
    </x:row>
    <x:row r="35">
      <x:c r="A35" s="22" t="str">
        <x:v>February</x:v>
      </x:c>
      <x:c r="B35" s="23" t="n">
        <x:v>43884</x:v>
      </x:c>
      <x:c r="C35" s="23" t="str"/>
      <x:c r="D35" s="22" t="str">
        <x:v>STP 1:1</x:v>
      </x:c>
      <x:c r="E35" s="22" t="str">
        <x:v>Teen Council Meeting or Training</x:v>
      </x:c>
      <x:c r="F35" s="22" t="str"/>
      <x:c r="G35" s="22" t="str"/>
      <x:c r="H35" s="24"/>
      <x:c r="I35" s="24"/>
      <x:c r="J35" s="25" t="n">
        <x:v>1</x:v>
      </x:c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 t="n">
        <x:v>0</x:v>
      </x:c>
    </x:row>
    <x:row r="36">
      <x:c r="A36" s="22" t="str">
        <x:v>April</x:v>
      </x:c>
      <x:c r="B36" s="23" t="n">
        <x:v>43929</x:v>
      </x:c>
      <x:c r="C36" s="23" t="str"/>
      <x:c r="D36" s="22" t="str">
        <x:v>MOMC Announcements</x:v>
      </x:c>
      <x:c r="E36" s="22" t="str">
        <x:v>Community Outreach, Briefings and Events</x:v>
      </x:c>
      <x:c r="F36" s="22" t="str"/>
      <x:c r="G36" s="22" t="str"/>
      <x:c r="H36" s="24"/>
      <x:c r="I36" s="24"/>
      <x:c r="J36" s="25"/>
      <x:c r="K36" s="26" t="n">
        <x:v>146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 t="n">
        <x:v>146</x:v>
      </x:c>
    </x:row>
    <x:row r="37">
      <x:c r="A37" s="22" t="str">
        <x:v>April</x:v>
      </x:c>
      <x:c r="B37" s="23" t="n">
        <x:v>43929</x:v>
      </x:c>
      <x:c r="C37" s="23" t="str"/>
      <x:c r="D37" s="22" t="str">
        <x:v>Wordy Wednesday</x:v>
      </x:c>
      <x:c r="E37" s="22" t="str">
        <x:v>Day Camp</x:v>
      </x:c>
      <x:c r="F37" s="22" t="str"/>
      <x:c r="G37" s="22" t="str"/>
      <x:c r="H37" s="24"/>
      <x:c r="I37" s="24"/>
      <x:c r="J37" s="25"/>
      <x:c r="K37" s="26" t="n">
        <x:v>52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 t="n">
        <x:v>52</x:v>
      </x:c>
    </x:row>
    <x:row r="38">
      <x:c r="A38" s="22" t="str">
        <x:v>April</x:v>
      </x:c>
      <x:c r="B38" s="23" t="n">
        <x:v>43936</x:v>
      </x:c>
      <x:c r="C38" s="23" t="str"/>
      <x:c r="D38" s="22" t="str">
        <x:v>Wordy Wednesday</x:v>
      </x:c>
      <x:c r="E38" s="22" t="str">
        <x:v>Day Camp</x:v>
      </x:c>
      <x:c r="F38" s="22" t="str"/>
      <x:c r="G38" s="22" t="str"/>
      <x:c r="H38" s="24"/>
      <x:c r="I38" s="24"/>
      <x:c r="J38" s="25" t="n">
        <x:v>0</x:v>
      </x:c>
      <x:c r="K38" s="26" t="n">
        <x:v>251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 t="n">
        <x:v>251</x:v>
      </x:c>
    </x:row>
    <x:row r="39">
      <x:c r="A39" s="22" t="str">
        <x:v>April</x:v>
      </x:c>
      <x:c r="B39" s="23" t="n">
        <x:v>43943</x:v>
      </x:c>
      <x:c r="C39" s="23" t="str"/>
      <x:c r="D39" s="22" t="str">
        <x:v>Wordy Wednesday</x:v>
      </x:c>
      <x:c r="E39" s="22" t="str">
        <x:v>Day Camp</x:v>
      </x:c>
      <x:c r="F39" s="22" t="str"/>
      <x:c r="G39" s="22" t="str"/>
      <x:c r="H39" s="24"/>
      <x:c r="I39" s="24"/>
      <x:c r="J39" s="25" t="n">
        <x:v>0</x:v>
      </x:c>
      <x:c r="K39" s="26" t="n">
        <x:v>316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 t="n">
        <x:v>316</x:v>
      </x:c>
    </x:row>
    <x:row r="40">
      <x:c r="A40" s="22" t="str">
        <x:v>April</x:v>
      </x:c>
      <x:c r="B40" s="23" t="n">
        <x:v>43943</x:v>
      </x:c>
      <x:c r="C40" s="23" t="str"/>
      <x:c r="D40" s="22" t="str">
        <x:v>MOMC Certificates Shipped</x:v>
      </x:c>
      <x:c r="E40" s="22" t="str">
        <x:v>MOMC Event</x:v>
      </x:c>
      <x:c r="F40" s="22" t="str"/>
      <x:c r="G40" s="22" t="str"/>
      <x:c r="H40" s="24"/>
      <x:c r="I40" s="24"/>
      <x:c r="J40" s="25" t="n">
        <x:v>0</x:v>
      </x:c>
      <x:c r="K40" s="26"/>
      <x:c r="L40" s="26"/>
      <x:c r="M40" s="26"/>
      <x:c r="N40" s="26" t="n">
        <x:v>59</x:v>
      </x:c>
      <x:c r="O40" s="26" t="n">
        <x:v>13</x:v>
      </x:c>
      <x:c r="P40" s="26"/>
      <x:c r="Q40" s="26" t="n">
        <x:v>9</x:v>
      </x:c>
      <x:c r="R40" s="26" t="n">
        <x:v>1</x:v>
      </x:c>
      <x:c r="S40" s="26"/>
      <x:c r="T40" s="26"/>
      <x:c r="U40" s="26"/>
      <x:c r="V40" s="26" t="n">
        <x:v>82</x:v>
      </x:c>
    </x:row>
    <x:row r="41">
      <x:c r="A41" s="22" t="str">
        <x:v>April</x:v>
      </x:c>
      <x:c r="B41" s="23" t="n">
        <x:v>43949</x:v>
      </x:c>
      <x:c r="C41" s="23" t="str"/>
      <x:c r="D41" s="22" t="str">
        <x:v>Virtual MFE</x:v>
      </x:c>
      <x:c r="E41" s="22" t="str">
        <x:v>MRT/Teen Resilience</x:v>
      </x:c>
      <x:c r="F41" s="22" t="str"/>
      <x:c r="G41" s="22" t="str"/>
      <x:c r="H41" s="24"/>
      <x:c r="I41" s="24"/>
      <x:c r="J41" s="25" t="n">
        <x:v>1.25</x:v>
      </x:c>
      <x:c r="K41" s="26" t="n">
        <x:v>48</x:v>
      </x:c>
      <x:c r="L41" s="26" t="n">
        <x:v>7</x:v>
      </x:c>
      <x:c r="M41" s="26"/>
      <x:c r="N41" s="26" t="n">
        <x:v>59</x:v>
      </x:c>
      <x:c r="O41" s="26" t="n">
        <x:v>13</x:v>
      </x:c>
      <x:c r="P41" s="26"/>
      <x:c r="Q41" s="26" t="n">
        <x:v>9</x:v>
      </x:c>
      <x:c r="R41" s="26" t="n">
        <x:v>1</x:v>
      </x:c>
      <x:c r="S41" s="26"/>
      <x:c r="T41" s="26"/>
      <x:c r="U41" s="26"/>
      <x:c r="V41" s="26" t="n">
        <x:v>137</x:v>
      </x:c>
    </x:row>
    <x:row r="42">
      <x:c r="A42" s="22" t="str">
        <x:v>April</x:v>
      </x:c>
      <x:c r="B42" s="23" t="n">
        <x:v>43950</x:v>
      </x:c>
      <x:c r="C42" s="23" t="str"/>
      <x:c r="D42" s="22" t="str">
        <x:v>Wordy Wednesday</x:v>
      </x:c>
      <x:c r="E42" s="22" t="str">
        <x:v>Day Camp</x:v>
      </x:c>
      <x:c r="F42" s="22" t="str"/>
      <x:c r="G42" s="22" t="str"/>
      <x:c r="H42" s="24"/>
      <x:c r="I42" s="24"/>
      <x:c r="J42" s="25"/>
      <x:c r="K42" s="26" t="n">
        <x:v>178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 t="n">
        <x:v>178</x:v>
      </x:c>
    </x:row>
    <x:row r="43">
      <x:c r="A43" s="22" t="str">
        <x:v>May</x:v>
      </x:c>
      <x:c r="B43" s="23" t="n">
        <x:v>43956</x:v>
      </x:c>
      <x:c r="C43" s="23" t="n">
        <x:v>43956</x:v>
      </x:c>
      <x:c r="D43" s="22" t="str">
        <x:v>Virtual MFE</x:v>
      </x:c>
      <x:c r="E43" s="22" t="str">
        <x:v>Day Camp</x:v>
      </x:c>
      <x:c r="F43" s="22" t="str"/>
      <x:c r="G43" s="22" t="str"/>
      <x:c r="H43" s="24"/>
      <x:c r="I43" s="24"/>
      <x:c r="J43" s="25"/>
      <x:c r="K43" s="26" t="n">
        <x:v>15</x:v>
      </x:c>
      <x:c r="L43" s="26"/>
      <x:c r="M43" s="26"/>
      <x:c r="N43" s="26" t="n">
        <x:v>7</x:v>
      </x:c>
      <x:c r="O43" s="26"/>
      <x:c r="P43" s="26"/>
      <x:c r="Q43" s="26"/>
      <x:c r="R43" s="26"/>
      <x:c r="S43" s="26"/>
      <x:c r="T43" s="26"/>
      <x:c r="U43" s="26"/>
      <x:c r="V43" s="26" t="n">
        <x:v>22</x:v>
      </x:c>
    </x:row>
    <x:row r="44">
      <x:c r="A44" s="22" t="str">
        <x:v>May</x:v>
      </x:c>
      <x:c r="B44" s="23" t="n">
        <x:v>43979</x:v>
      </x:c>
      <x:c r="C44" s="23" t="n">
        <x:v>43979</x:v>
      </x:c>
      <x:c r="D44" s="22" t="str">
        <x:v>Yellow Ribbon</x:v>
      </x:c>
      <x:c r="E44" s="22" t="str">
        <x:v>Yellow Ribbon Briefing and Programming</x:v>
      </x:c>
      <x:c r="F44" s="22" t="str"/>
      <x:c r="G44" s="22" t="str"/>
      <x:c r="H44" s="24"/>
      <x:c r="I44" s="24"/>
      <x:c r="J44" s="25"/>
      <x:c r="K44" s="26" t="n">
        <x:v>18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 t="n">
        <x:v>18</x:v>
      </x:c>
    </x:row>
    <x:row r="45">
      <x:c r="A45" s="22" t="str">
        <x:v>June</x:v>
      </x:c>
      <x:c r="B45" s="23" t="n">
        <x:v>43990</x:v>
      </x:c>
      <x:c r="C45" s="23" t="str"/>
      <x:c r="D45" s="22" t="str">
        <x:v>STEM Camp (Roblox)</x:v>
      </x:c>
      <x:c r="E45" s="22" t="str">
        <x:v>Day Camp</x:v>
      </x:c>
      <x:c r="F45" s="22" t="str"/>
      <x:c r="G45" s="22" t="str"/>
      <x:c r="H45" s="24"/>
      <x:c r="I45" s="24"/>
      <x:c r="J45" s="25" t="n">
        <x:v>15</x:v>
      </x:c>
      <x:c r="K45" s="26"/>
      <x:c r="L45" s="26"/>
      <x:c r="M45" s="26"/>
      <x:c r="N45" s="26"/>
      <x:c r="O45" s="26" t="n">
        <x:v>8</x:v>
      </x:c>
      <x:c r="P45" s="26"/>
      <x:c r="Q45" s="26"/>
      <x:c r="R45" s="26"/>
      <x:c r="S45" s="26"/>
      <x:c r="T45" s="26"/>
      <x:c r="U45" s="26"/>
      <x:c r="V45" s="26" t="n">
        <x:v>8</x:v>
      </x:c>
    </x:row>
    <x:row r="46">
      <x:c r="A46" s="22" t="str">
        <x:v>June</x:v>
      </x:c>
      <x:c r="B46" s="23" t="n">
        <x:v>43997</x:v>
      </x:c>
      <x:c r="C46" s="23" t="str"/>
      <x:c r="D46" s="22" t="str">
        <x:v>STEM Camp (Code Builders)</x:v>
      </x:c>
      <x:c r="E46" s="22" t="str">
        <x:v>Day Camp</x:v>
      </x:c>
      <x:c r="F46" s="22" t="str"/>
      <x:c r="G46" s="22" t="str"/>
      <x:c r="H46" s="24"/>
      <x:c r="I46" s="24"/>
      <x:c r="J46" s="25" t="n">
        <x:v>15</x:v>
      </x:c>
      <x:c r="K46" s="26"/>
      <x:c r="L46" s="26"/>
      <x:c r="M46" s="26"/>
      <x:c r="N46" s="26"/>
      <x:c r="O46" s="26" t="n">
        <x:v>8</x:v>
      </x:c>
      <x:c r="P46" s="26"/>
      <x:c r="Q46" s="26"/>
      <x:c r="R46" s="26"/>
      <x:c r="S46" s="26"/>
      <x:c r="T46" s="26"/>
      <x:c r="U46" s="26"/>
      <x:c r="V46" s="26" t="n">
        <x:v>8</x:v>
      </x:c>
    </x:row>
    <x:row r="47">
      <x:c r="A47" s="22" t="str">
        <x:v>June</x:v>
      </x:c>
      <x:c r="B47" s="23" t="n">
        <x:v>43997</x:v>
      </x:c>
      <x:c r="C47" s="23" t="str"/>
      <x:c r="D47" s="22" t="str">
        <x:v>STEM Camp (Roblox)</x:v>
      </x:c>
      <x:c r="E47" s="22" t="str">
        <x:v>Day Camp</x:v>
      </x:c>
      <x:c r="F47" s="22" t="str"/>
      <x:c r="G47" s="22" t="str"/>
      <x:c r="H47" s="24"/>
      <x:c r="I47" s="24"/>
      <x:c r="J47" s="25" t="n">
        <x:v>15</x:v>
      </x:c>
      <x:c r="K47" s="26"/>
      <x:c r="L47" s="26"/>
      <x:c r="M47" s="26"/>
      <x:c r="N47" s="26"/>
      <x:c r="O47" s="26" t="n">
        <x:v>8</x:v>
      </x:c>
      <x:c r="P47" s="26"/>
      <x:c r="Q47" s="26"/>
      <x:c r="R47" s="26"/>
      <x:c r="S47" s="26"/>
      <x:c r="T47" s="26"/>
      <x:c r="U47" s="26"/>
      <x:c r="V47" s="26" t="n">
        <x:v>8</x:v>
      </x:c>
    </x:row>
    <x:row r="48">
      <x:c r="A48" s="22" t="str">
        <x:v>June</x:v>
      </x:c>
      <x:c r="B48" s="23" t="n">
        <x:v>44000</x:v>
      </x:c>
      <x:c r="C48" s="23" t="str"/>
      <x:c r="D48" s="22" t="str">
        <x:v>Yellow Ribbon Pre-MOB</x:v>
      </x:c>
      <x:c r="E48" s="22" t="str">
        <x:v>Yellow Ribbon Briefing and Programming</x:v>
      </x:c>
      <x:c r="F48" s="22" t="str"/>
      <x:c r="G48" s="22" t="str"/>
      <x:c r="H48" s="24"/>
      <x:c r="I48" s="24"/>
      <x:c r="J48" s="25"/>
      <x:c r="K48" s="26" t="n">
        <x:v>16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 t="n">
        <x:v>16</x:v>
      </x:c>
    </x:row>
    <x:row r="49">
      <x:c r="A49" s="22" t="str">
        <x:v>June</x:v>
      </x:c>
      <x:c r="B49" s="23" t="n">
        <x:v>44004</x:v>
      </x:c>
      <x:c r="C49" s="23" t="str"/>
      <x:c r="D49" s="22" t="str">
        <x:v>STEM Camp (Game Developers)</x:v>
      </x:c>
      <x:c r="E49" s="22" t="str">
        <x:v>Day Camp</x:v>
      </x:c>
      <x:c r="F49" s="22" t="str"/>
      <x:c r="G49" s="22" t="str"/>
      <x:c r="H49" s="24"/>
      <x:c r="I49" s="24"/>
      <x:c r="J49" s="25" t="n">
        <x:v>15</x:v>
      </x:c>
      <x:c r="K49" s="26"/>
      <x:c r="L49" s="26"/>
      <x:c r="M49" s="26"/>
      <x:c r="N49" s="26"/>
      <x:c r="O49" s="26" t="n">
        <x:v>18</x:v>
      </x:c>
      <x:c r="P49" s="26"/>
      <x:c r="Q49" s="26"/>
      <x:c r="R49" s="26"/>
      <x:c r="S49" s="26"/>
      <x:c r="T49" s="26"/>
      <x:c r="U49" s="26"/>
      <x:c r="V49" s="26" t="n">
        <x:v>18</x:v>
      </x:c>
    </x:row>
    <x:row r="50">
      <x:c r="A50" s="22" t="str">
        <x:v>June</x:v>
      </x:c>
      <x:c r="B50" s="23" t="n">
        <x:v>44006</x:v>
      </x:c>
      <x:c r="C50" s="23" t="str"/>
      <x:c r="D50" s="22" t="str">
        <x:v>Joining Community Forces</x:v>
      </x:c>
      <x:c r="E50" s="22" t="str">
        <x:v>Yellow Ribbon Briefing and Programming</x:v>
      </x:c>
      <x:c r="F50" s="22" t="str"/>
      <x:c r="G50" s="22" t="str"/>
      <x:c r="H50" s="24"/>
      <x:c r="I50" s="24"/>
      <x:c r="J50" s="25"/>
      <x:c r="K50" s="26" t="n">
        <x:v>26</x:v>
      </x:c>
      <x:c r="L50" s="26"/>
      <x:c r="M50" s="26" t="n">
        <x:v>54</x:v>
      </x:c>
      <x:c r="N50" s="26"/>
      <x:c r="O50" s="26"/>
      <x:c r="P50" s="26"/>
      <x:c r="Q50" s="26"/>
      <x:c r="R50" s="26"/>
      <x:c r="S50" s="26"/>
      <x:c r="T50" s="26"/>
      <x:c r="U50" s="26"/>
      <x:c r="V50" s="26" t="n">
        <x:v>80</x:v>
      </x:c>
    </x:row>
    <x:row r="51">
      <x:c r="A51" s="22" t="str">
        <x:v>June</x:v>
      </x:c>
      <x:c r="B51" s="23" t="n">
        <x:v>44010</x:v>
      </x:c>
      <x:c r="C51" s="23" t="str"/>
      <x:c r="D51" s="22" t="str">
        <x:v>Yellow Ribbon Pre-MOB</x:v>
      </x:c>
      <x:c r="E51" s="22" t="str">
        <x:v>Yellow Ribbon Briefing and Programming</x:v>
      </x:c>
      <x:c r="F51" s="22" t="str"/>
      <x:c r="G51" s="22" t="str"/>
      <x:c r="H51" s="24"/>
      <x:c r="I51" s="24"/>
      <x:c r="J51" s="25"/>
      <x:c r="K51" s="26" t="n">
        <x:v>164</x:v>
      </x:c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 t="n">
        <x:v>164</x:v>
      </x:c>
    </x:row>
    <x:row r="52">
      <x:c r="A52" s="22" t="str">
        <x:v>June</x:v>
      </x:c>
      <x:c r="B52" s="23" t="n">
        <x:v>44011</x:v>
      </x:c>
      <x:c r="C52" s="23" t="str"/>
      <x:c r="D52" s="22" t="str">
        <x:v>Performing Arts Camp</x:v>
      </x:c>
      <x:c r="E52" s="22" t="str">
        <x:v>Day Camp</x:v>
      </x:c>
      <x:c r="F52" s="22" t="str"/>
      <x:c r="G52" s="22" t="str"/>
      <x:c r="H52" s="24"/>
      <x:c r="I52" s="24"/>
      <x:c r="J52" s="25" t="n">
        <x:v>15</x:v>
      </x:c>
      <x:c r="K52" s="26"/>
      <x:c r="L52" s="26"/>
      <x:c r="M52" s="26"/>
      <x:c r="N52" s="26"/>
      <x:c r="O52" s="26" t="n">
        <x:v>18</x:v>
      </x:c>
      <x:c r="P52" s="26"/>
      <x:c r="Q52" s="26"/>
      <x:c r="R52" s="26"/>
      <x:c r="S52" s="26"/>
      <x:c r="T52" s="26"/>
      <x:c r="U52" s="26"/>
      <x:c r="V52" s="26" t="n">
        <x:v>18</x:v>
      </x:c>
    </x:row>
    <x:row r="53">
      <x:c r="A53" s="22" t="str">
        <x:v>July</x:v>
      </x:c>
      <x:c r="B53" s="23" t="n">
        <x:v>44019</x:v>
      </x:c>
      <x:c r="C53" s="23" t="str"/>
      <x:c r="D53" s="22" t="str">
        <x:v>Deployment 101</x:v>
      </x:c>
      <x:c r="E53" s="22" t="str">
        <x:v>Command/Unit/FRG Briefings</x:v>
      </x:c>
      <x:c r="F53" s="22" t="str"/>
      <x:c r="G53" s="22" t="str"/>
      <x:c r="H53" s="24"/>
      <x:c r="I53" s="24"/>
      <x:c r="J53" s="25"/>
      <x:c r="K53" s="26" t="n">
        <x:v>72</x:v>
      </x:c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 t="n">
        <x:v>72</x:v>
      </x:c>
    </x:row>
    <x:row r="54">
      <x:c r="A54" s="22" t="str">
        <x:v>July</x:v>
      </x:c>
      <x:c r="B54" s="23" t="n">
        <x:v>44031</x:v>
      </x:c>
      <x:c r="C54" s="23" t="str"/>
      <x:c r="D54" s="22" t="str">
        <x:v>Military Family Quarantine Quest</x:v>
      </x:c>
      <x:c r="E54" s="22" t="str">
        <x:v>Youth Symposium</x:v>
      </x:c>
      <x:c r="F54" s="22" t="str"/>
      <x:c r="G54" s="22" t="str"/>
      <x:c r="H54" s="24"/>
      <x:c r="I54" s="24"/>
      <x:c r="J54" s="25" t="n">
        <x:v>18</x:v>
      </x:c>
      <x:c r="K54" s="26" t="n">
        <x:v>224</x:v>
      </x:c>
      <x:c r="L54" s="26"/>
      <x:c r="M54" s="26"/>
      <x:c r="N54" s="26" t="n">
        <x:v>127</x:v>
      </x:c>
      <x:c r="O54" s="26" t="n">
        <x:v>99</x:v>
      </x:c>
      <x:c r="P54" s="26"/>
      <x:c r="Q54" s="26" t="n">
        <x:v>46</x:v>
      </x:c>
      <x:c r="R54" s="26" t="n">
        <x:v>38</x:v>
      </x:c>
      <x:c r="S54" s="26"/>
      <x:c r="T54" s="26"/>
      <x:c r="U54" s="26"/>
      <x:c r="V54" s="26" t="n">
        <x:v>534</x:v>
      </x:c>
    </x:row>
    <x:row r="55">
      <x:c r="A55" s="22" t="str">
        <x:v>August</x:v>
      </x:c>
      <x:c r="B55" s="23" t="n">
        <x:v>44047</x:v>
      </x:c>
      <x:c r="C55" s="23" t="n">
        <x:v>44047</x:v>
      </x:c>
      <x:c r="D55" s="22" t="str">
        <x:v>Deployment 101</x:v>
      </x:c>
      <x:c r="E55" s="22" t="str">
        <x:v>Command/Unit/FRG Briefings</x:v>
      </x:c>
      <x:c r="F55" s="22" t="str"/>
      <x:c r="G55" s="22" t="str"/>
      <x:c r="H55" s="24"/>
      <x:c r="I55" s="24"/>
      <x:c r="J55" s="25"/>
      <x:c r="K55" s="26" t="n">
        <x:v>26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 t="n">
        <x:v>26</x:v>
      </x:c>
    </x:row>
    <x:row r="56">
      <x:c r="A56" s="22" t="str">
        <x:v>August</x:v>
      </x:c>
      <x:c r="B56" s="23" t="n">
        <x:v>44047</x:v>
      </x:c>
      <x:c r="C56" s="23" t="n">
        <x:v>44047</x:v>
      </x:c>
      <x:c r="D56" s="22" t="str">
        <x:v>Deployment 101</x:v>
      </x:c>
      <x:c r="E56" s="22" t="str">
        <x:v>Command/Unit/FRG Briefings</x:v>
      </x:c>
      <x:c r="F56" s="22" t="str"/>
      <x:c r="G56" s="22" t="str"/>
      <x:c r="H56" s="24"/>
      <x:c r="I56" s="24"/>
      <x:c r="J56" s="25"/>
      <x:c r="K56" s="26" t="n">
        <x:v>50</x:v>
      </x:c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 t="n">
        <x:v>50</x:v>
      </x:c>
    </x:row>
    <x:row r="57">
      <x:c r="A57" s="22" t="str">
        <x:v>August</x:v>
      </x:c>
      <x:c r="B57" s="23" t="n">
        <x:v>44050</x:v>
      </x:c>
      <x:c r="C57" s="23" t="n">
        <x:v>44050</x:v>
      </x:c>
      <x:c r="D57" s="22" t="str">
        <x:v>Yellow Ribbon Post DET 6 </x:v>
      </x:c>
      <x:c r="E57" s="22" t="str">
        <x:v>Yellow Ribbon Briefing and Programming</x:v>
      </x:c>
      <x:c r="F57" s="22" t="str"/>
      <x:c r="G57" s="22" t="str"/>
      <x:c r="H57" s="24"/>
      <x:c r="I57" s="24"/>
      <x:c r="J57" s="25"/>
      <x:c r="K57" s="26" t="n">
        <x:v>7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 t="n">
        <x:v>7</x:v>
      </x:c>
    </x:row>
    <x:row r="58">
      <x:c r="A58" s="22" t="str">
        <x:v>August</x:v>
      </x:c>
      <x:c r="B58" s="23" t="n">
        <x:v>44054</x:v>
      </x:c>
      <x:c r="C58" s="23" t="n">
        <x:v>44054</x:v>
      </x:c>
      <x:c r="D58" s="22" t="str">
        <x:v>Deployment 101</x:v>
      </x:c>
      <x:c r="E58" s="22" t="str">
        <x:v>Command/Unit/FRG Briefings</x:v>
      </x:c>
      <x:c r="F58" s="22" t="str"/>
      <x:c r="G58" s="22" t="str"/>
      <x:c r="H58" s="24"/>
      <x:c r="I58" s="24"/>
      <x:c r="J58" s="25"/>
      <x:c r="K58" s="26" t="n">
        <x:v>24</x:v>
      </x:c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 t="n">
        <x:v>24</x:v>
      </x:c>
    </x:row>
    <x:row r="59">
      <x:c r="A59" s="22" t="str">
        <x:v>August</x:v>
      </x:c>
      <x:c r="B59" s="23" t="n">
        <x:v>44054</x:v>
      </x:c>
      <x:c r="C59" s="23" t="n">
        <x:v>44054</x:v>
      </x:c>
      <x:c r="D59" s="22" t="str">
        <x:v>Deployment 101</x:v>
      </x:c>
      <x:c r="E59" s="22" t="str">
        <x:v>Command/Unit/FRG Briefings</x:v>
      </x:c>
      <x:c r="F59" s="22" t="str"/>
      <x:c r="G59" s="22" t="str"/>
      <x:c r="H59" s="24"/>
      <x:c r="I59" s="24"/>
      <x:c r="J59" s="25"/>
      <x:c r="K59" s="26" t="n">
        <x:v>55</x:v>
      </x:c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 t="n">
        <x:v>55</x:v>
      </x:c>
    </x:row>
    <x:row r="60">
      <x:c r="A60" s="22" t="str">
        <x:v>August</x:v>
      </x:c>
      <x:c r="B60" s="23" t="n">
        <x:v>44058</x:v>
      </x:c>
      <x:c r="C60" s="23" t="n">
        <x:v>44058</x:v>
      </x:c>
      <x:c r="D60" s="22" t="str">
        <x:v>Yellow Ribbon Pre 1-113 CAV</x:v>
      </x:c>
      <x:c r="E60" s="22" t="str">
        <x:v>Yellow Ribbon Briefing and Programming</x:v>
      </x:c>
      <x:c r="F60" s="22" t="str"/>
      <x:c r="G60" s="22" t="str"/>
      <x:c r="H60" s="24"/>
      <x:c r="I60" s="24"/>
      <x:c r="J60" s="25"/>
      <x:c r="K60" s="26" t="n">
        <x:v>100</x:v>
      </x:c>
      <x:c r="L60" s="26"/>
      <x:c r="M60" s="26"/>
      <x:c r="N60" s="26" t="n">
        <x:v>18</x:v>
      </x:c>
      <x:c r="O60" s="26"/>
      <x:c r="P60" s="26"/>
      <x:c r="Q60" s="26" t="n">
        <x:v>7</x:v>
      </x:c>
      <x:c r="R60" s="26"/>
      <x:c r="S60" s="26"/>
      <x:c r="T60" s="26"/>
      <x:c r="U60" s="26"/>
      <x:c r="V60" s="26" t="n">
        <x:v>125</x:v>
      </x:c>
    </x:row>
    <x:row r="61">
      <x:c r="A61" s="22" t="str">
        <x:v>August</x:v>
      </x:c>
      <x:c r="B61" s="23" t="n">
        <x:v>44059</x:v>
      </x:c>
      <x:c r="C61" s="23" t="n">
        <x:v>44059</x:v>
      </x:c>
      <x:c r="D61" s="22" t="str">
        <x:v>Yellow Ribbon Pre 1-113 CAV</x:v>
      </x:c>
      <x:c r="E61" s="22" t="str">
        <x:v>Yellow Ribbon Briefing and Programming</x:v>
      </x:c>
      <x:c r="F61" s="22" t="str"/>
      <x:c r="G61" s="22" t="str"/>
      <x:c r="H61" s="24"/>
      <x:c r="I61" s="24"/>
      <x:c r="J61" s="25"/>
      <x:c r="K61" s="26" t="n">
        <x:v>127</x:v>
      </x:c>
      <x:c r="L61" s="26"/>
      <x:c r="M61" s="26"/>
      <x:c r="N61" s="26" t="n">
        <x:v>25</x:v>
      </x:c>
      <x:c r="O61" s="26"/>
      <x:c r="P61" s="26"/>
      <x:c r="Q61" s="26" t="n">
        <x:v>5</x:v>
      </x:c>
      <x:c r="R61" s="26"/>
      <x:c r="S61" s="26"/>
      <x:c r="T61" s="26"/>
      <x:c r="U61" s="26"/>
      <x:c r="V61" s="26" t="n">
        <x:v>157</x:v>
      </x:c>
    </x:row>
    <x:row r="62">
      <x:c r="A62" s="22" t="str">
        <x:v>August</x:v>
      </x:c>
      <x:c r="B62" s="23" t="n">
        <x:v>44063</x:v>
      </x:c>
      <x:c r="C62" s="23" t="n">
        <x:v>44063</x:v>
      </x:c>
      <x:c r="D62" s="22" t="str">
        <x:v>ROOTS | Poster Creations</x:v>
      </x:c>
      <x:c r="E62" s="22" t="str">
        <x:v>Day Camp</x:v>
      </x:c>
      <x:c r="F62" s="22" t="str"/>
      <x:c r="G62" s="22" t="str"/>
      <x:c r="H62" s="24"/>
      <x:c r="I62" s="24"/>
      <x:c r="J62" s="25" t="n">
        <x:v>4</x:v>
      </x:c>
      <x:c r="K62" s="26" t="n">
        <x:v>44</x:v>
      </x:c>
      <x:c r="L62" s="26"/>
      <x:c r="M62" s="26"/>
      <x:c r="N62" s="26" t="n">
        <x:v>36</x:v>
      </x:c>
      <x:c r="O62" s="26"/>
      <x:c r="P62" s="26"/>
      <x:c r="Q62" s="26" t="n">
        <x:v>8</x:v>
      </x:c>
      <x:c r="R62" s="26"/>
      <x:c r="S62" s="26"/>
      <x:c r="T62" s="26"/>
      <x:c r="U62" s="26"/>
      <x:c r="V62" s="26" t="n">
        <x:v>88</x:v>
      </x:c>
    </x:row>
    <x:row r="63">
      <x:c r="A63" s="22" t="str">
        <x:v>August</x:v>
      </x:c>
      <x:c r="B63" s="23" t="n">
        <x:v>44063</x:v>
      </x:c>
      <x:c r="C63" s="23" t="n">
        <x:v>44063</x:v>
      </x:c>
      <x:c r="D63" s="22" t="str">
        <x:v>Deployment 101</x:v>
      </x:c>
      <x:c r="E63" s="22" t="str">
        <x:v>Command/Unit/FRG Briefings</x:v>
      </x:c>
      <x:c r="F63" s="22" t="str"/>
      <x:c r="G63" s="22" t="str"/>
      <x:c r="H63" s="24"/>
      <x:c r="I63" s="24"/>
      <x:c r="J63" s="25"/>
      <x:c r="K63" s="26" t="n">
        <x:v>48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 t="n">
        <x:v>48</x:v>
      </x:c>
    </x:row>
    <x:row r="64">
      <x:c r="A64" s="22" t="str">
        <x:v>August</x:v>
      </x:c>
      <x:c r="B64" s="23" t="n">
        <x:v>44068</x:v>
      </x:c>
      <x:c r="C64" s="23" t="n">
        <x:v>44068</x:v>
      </x:c>
      <x:c r="D64" s="22" t="str">
        <x:v>Deployment 101</x:v>
      </x:c>
      <x:c r="E64" s="22" t="str">
        <x:v>Command/Unit/FRG Briefings</x:v>
      </x:c>
      <x:c r="F64" s="22" t="str"/>
      <x:c r="G64" s="22" t="str"/>
      <x:c r="H64" s="24"/>
      <x:c r="I64" s="24"/>
      <x:c r="J64" s="25"/>
      <x:c r="K64" s="26" t="n">
        <x:v>25</x:v>
      </x:c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 t="n">
        <x:v>25</x:v>
      </x:c>
    </x:row>
    <x:row r="65">
      <x:c r="A65" s="22" t="str">
        <x:v>August</x:v>
      </x:c>
      <x:c r="B65" s="23" t="n">
        <x:v>44072</x:v>
      </x:c>
      <x:c r="C65" s="23" t="n">
        <x:v>44072</x:v>
      </x:c>
      <x:c r="D65" s="22" t="str">
        <x:v>Yellow Ribbon During Multiple Units</x:v>
      </x:c>
      <x:c r="E65" s="22" t="str">
        <x:v>Yellow Ribbon Briefing and Programming</x:v>
      </x:c>
      <x:c r="F65" s="22" t="str"/>
      <x:c r="G65" s="22" t="str"/>
      <x:c r="H65" s="24"/>
      <x:c r="I65" s="24"/>
      <x:c r="J65" s="25" t="n">
        <x:v>6.5</x:v>
      </x:c>
      <x:c r="K65" s="26"/>
      <x:c r="L65" s="26"/>
      <x:c r="M65" s="26"/>
      <x:c r="N65" s="26" t="n">
        <x:v>9</x:v>
      </x:c>
      <x:c r="O65" s="26"/>
      <x:c r="P65" s="26"/>
      <x:c r="Q65" s="26" t="n">
        <x:v>1</x:v>
      </x:c>
      <x:c r="R65" s="26"/>
      <x:c r="S65" s="26"/>
      <x:c r="T65" s="26"/>
      <x:c r="U65" s="26"/>
      <x:c r="V65" s="26" t="n">
        <x:v>10</x:v>
      </x:c>
    </x:row>
    <x:row r="66">
      <x:c r="A66" s="22" t="str">
        <x:v>August</x:v>
      </x:c>
      <x:c r="B66" s="23" t="n">
        <x:v>44073</x:v>
      </x:c>
      <x:c r="C66" s="23" t="n">
        <x:v>44073</x:v>
      </x:c>
      <x:c r="D66" s="22" t="str">
        <x:v>Yellow Ribbon Pre HHC 2/34, 135 MPAD</x:v>
      </x:c>
      <x:c r="E66" s="22" t="str">
        <x:v>Yellow Ribbon Briefing and Programming</x:v>
      </x:c>
      <x:c r="F66" s="22" t="str"/>
      <x:c r="G66" s="22" t="str"/>
      <x:c r="H66" s="24"/>
      <x:c r="I66" s="24"/>
      <x:c r="J66" s="25" t="n">
        <x:v>7</x:v>
      </x:c>
      <x:c r="K66" s="26" t="n">
        <x:v>77</x:v>
      </x:c>
      <x:c r="L66" s="26"/>
      <x:c r="M66" s="26"/>
      <x:c r="N66" s="26" t="n">
        <x:v>8</x:v>
      </x:c>
      <x:c r="O66" s="26"/>
      <x:c r="P66" s="26"/>
      <x:c r="Q66" s="26" t="n">
        <x:v>2</x:v>
      </x:c>
      <x:c r="R66" s="26"/>
      <x:c r="S66" s="26"/>
      <x:c r="T66" s="26"/>
      <x:c r="U66" s="26"/>
      <x:c r="V66" s="26" t="n">
        <x:v>87</x:v>
      </x:c>
    </x:row>
    <x:row r="67">
      <x:c r="A67" s="22" t="str">
        <x:v>September</x:v>
      </x:c>
      <x:c r="B67" s="23" t="n">
        <x:v>44076</x:v>
      </x:c>
      <x:c r="C67" s="23" t="n">
        <x:v>44076</x:v>
      </x:c>
      <x:c r="D67" s="22" t="str">
        <x:v>TRAINING - OPSEC</x:v>
      </x:c>
      <x:c r="E67" s="22" t="str"/>
      <x:c r="F67" s="22" t="str"/>
      <x:c r="G67" s="22" t="str"/>
      <x:c r="H67" s="24"/>
      <x:c r="I67" s="24"/>
      <x:c r="J67" s="25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 t="n">
        <x:v>0</x:v>
      </x:c>
    </x:row>
    <x:row r="68">
      <x:c r="A68" s="22" t="str">
        <x:v>September</x:v>
      </x:c>
      <x:c r="B68" s="23" t="n">
        <x:v>44080</x:v>
      </x:c>
      <x:c r="C68" s="23" t="n">
        <x:v>44080</x:v>
      </x:c>
      <x:c r="D68" s="22" t="str">
        <x:v>State Teen Panel Meeting</x:v>
      </x:c>
      <x:c r="E68" s="22" t="str">
        <x:v>Teen Council Meeting or Training</x:v>
      </x:c>
      <x:c r="F68" s="22" t="str"/>
      <x:c r="G68" s="22" t="str"/>
      <x:c r="H68" s="24"/>
      <x:c r="I68" s="24"/>
      <x:c r="J68" s="25" t="n">
        <x:v>1</x:v>
      </x:c>
      <x:c r="K68" s="26" t="n">
        <x:v>2</x:v>
      </x:c>
      <x:c r="L68" s="26"/>
      <x:c r="M68" s="26"/>
      <x:c r="N68" s="26"/>
      <x:c r="O68" s="26"/>
      <x:c r="P68" s="26"/>
      <x:c r="Q68" s="26" t="n">
        <x:v>3</x:v>
      </x:c>
      <x:c r="R68" s="26"/>
      <x:c r="S68" s="26"/>
      <x:c r="T68" s="26"/>
      <x:c r="U68" s="26"/>
      <x:c r="V68" s="26" t="n">
        <x:v>5</x:v>
      </x:c>
    </x:row>
    <x:row r="69">
      <x:c r="A69" s="22" t="str">
        <x:v>September</x:v>
      </x:c>
      <x:c r="B69" s="23" t="n">
        <x:v>44082</x:v>
      </x:c>
      <x:c r="C69" s="23" t="n">
        <x:v>44082</x:v>
      </x:c>
      <x:c r="D69" s="22" t="str">
        <x:v>Deployment 101 2pm</x:v>
      </x:c>
      <x:c r="E69" s="22" t="str">
        <x:v>Command/Unit/FRG Briefings</x:v>
      </x:c>
      <x:c r="F69" s="22" t="str"/>
      <x:c r="G69" s="22" t="str"/>
      <x:c r="H69" s="24"/>
      <x:c r="I69" s="24"/>
      <x:c r="J69" s="25"/>
      <x:c r="K69" s="26" t="n">
        <x:v>29</x:v>
      </x:c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 t="n">
        <x:v>29</x:v>
      </x:c>
    </x:row>
    <x:row r="70">
      <x:c r="A70" s="22" t="str">
        <x:v>September</x:v>
      </x:c>
      <x:c r="B70" s="23" t="n">
        <x:v>44082</x:v>
      </x:c>
      <x:c r="C70" s="23" t="n">
        <x:v>44082</x:v>
      </x:c>
      <x:c r="D70" s="22" t="str">
        <x:v>Deployment 101 7pm</x:v>
      </x:c>
      <x:c r="E70" s="22" t="str">
        <x:v>Command/Unit/FRG Briefings</x:v>
      </x:c>
      <x:c r="F70" s="22" t="str"/>
      <x:c r="G70" s="22" t="str"/>
      <x:c r="H70" s="24"/>
      <x:c r="I70" s="24"/>
      <x:c r="J70" s="25"/>
      <x:c r="K70" s="26" t="n">
        <x:v>38</x:v>
      </x:c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 t="n">
        <x:v>38</x:v>
      </x:c>
    </x:row>
    <x:row r="71">
      <x:c r="A71" s="22" t="str">
        <x:v>September</x:v>
      </x:c>
      <x:c r="B71" s="23" t="n">
        <x:v>44087</x:v>
      </x:c>
      <x:c r="C71" s="23" t="n">
        <x:v>44087</x:v>
      </x:c>
      <x:c r="D71" s="22" t="str">
        <x:v>Yellow Ribbon During 2-147 AV</x:v>
      </x:c>
      <x:c r="E71" s="22" t="str">
        <x:v>Yellow Ribbon Briefing and Programming</x:v>
      </x:c>
      <x:c r="F71" s="22" t="str"/>
      <x:c r="G71" s="22" t="str"/>
      <x:c r="H71" s="24"/>
      <x:c r="I71" s="24"/>
      <x:c r="J71" s="25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 t="n">
        <x:v>0</x:v>
      </x:c>
    </x:row>
    <x:row r="72">
      <x:c r="A72" s="22" t="str">
        <x:v>September</x:v>
      </x:c>
      <x:c r="B72" s="23" t="n">
        <x:v>44090</x:v>
      </x:c>
      <x:c r="C72" s="23" t="n">
        <x:v>44090</x:v>
      </x:c>
      <x:c r="D72" s="22" t="str">
        <x:v>Volunteer Training</x:v>
      </x:c>
      <x:c r="E72" s="22" t="str">
        <x:v>Volunteer Training</x:v>
      </x:c>
      <x:c r="F72" s="22" t="str"/>
      <x:c r="G72" s="22" t="str"/>
      <x:c r="H72" s="24" t="n">
        <x:v>4</x:v>
      </x:c>
      <x:c r="I72" s="24" t="n">
        <x:v>1</x:v>
      </x:c>
      <x:c r="J72" s="25" t="n">
        <x:v>1</x:v>
      </x:c>
      <x:c r="K72" s="26"/>
      <x:c r="L72" s="26"/>
      <x:c r="M72" s="26" t="n">
        <x:v>4</x:v>
      </x:c>
      <x:c r="N72" s="26"/>
      <x:c r="O72" s="26"/>
      <x:c r="P72" s="26"/>
      <x:c r="Q72" s="26"/>
      <x:c r="R72" s="26"/>
      <x:c r="S72" s="26"/>
      <x:c r="T72" s="26"/>
      <x:c r="U72" s="26"/>
      <x:c r="V72" s="26" t="n">
        <x:v>4</x:v>
      </x:c>
    </x:row>
    <x:row r="73">
      <x:c r="A73" s="22" t="str">
        <x:v>September</x:v>
      </x:c>
      <x:c r="B73" s="23" t="n">
        <x:v>44096</x:v>
      </x:c>
      <x:c r="C73" s="23" t="n">
        <x:v>44096</x:v>
      </x:c>
      <x:c r="D73" s="22" t="str">
        <x:v>BGCA Training</x:v>
      </x:c>
      <x:c r="E73" s="22" t="str">
        <x:v>Volunteer Training</x:v>
      </x:c>
      <x:c r="F73" s="22" t="str"/>
      <x:c r="G73" s="22" t="str">
        <x:v>BGCA</x:v>
      </x:c>
      <x:c r="H73" s="24"/>
      <x:c r="I73" s="24"/>
      <x:c r="J73" s="25" t="n">
        <x:v>1</x:v>
      </x:c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 t="n">
        <x:v>0</x:v>
      </x:c>
    </x:row>
    <x:row r="74">
      <x:c r="A74" s="22" t="str">
        <x:v>September</x:v>
      </x:c>
      <x:c r="B74" s="23" t="n">
        <x:v>44097</x:v>
      </x:c>
      <x:c r="C74" s="23" t="n">
        <x:v>44097</x:v>
      </x:c>
      <x:c r="D74" s="22" t="str">
        <x:v>Deployment 101 7pm</x:v>
      </x:c>
      <x:c r="E74" s="22" t="str">
        <x:v>Command/Unit/FRG Briefings</x:v>
      </x:c>
      <x:c r="F74" s="22" t="str"/>
      <x:c r="G74" s="22" t="str"/>
      <x:c r="H74" s="24"/>
      <x:c r="I74" s="24"/>
      <x:c r="J74" s="25"/>
      <x:c r="K74" s="26" t="n">
        <x:v>24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 t="n">
        <x:v>24</x:v>
      </x:c>
    </x:row>
    <x:row r="75">
      <x:c r="A75" s="22" t="str">
        <x:v>September</x:v>
      </x:c>
      <x:c r="B75" s="23" t="n">
        <x:v>44097</x:v>
      </x:c>
      <x:c r="C75" s="23" t="n">
        <x:v>44097</x:v>
      </x:c>
      <x:c r="D75" s="22" t="str">
        <x:v>Deployment 101 part 3 @ 2pm</x:v>
      </x:c>
      <x:c r="E75" s="22" t="str">
        <x:v>Command/Unit/FRG Briefings</x:v>
      </x:c>
      <x:c r="F75" s="22" t="str"/>
      <x:c r="G75" s="22" t="str"/>
      <x:c r="H75" s="24"/>
      <x:c r="I75" s="24"/>
      <x:c r="J75" s="25"/>
      <x:c r="K75" s="26" t="n">
        <x:v>17</x:v>
      </x:c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 t="n">
        <x:v>17</x:v>
      </x:c>
    </x:row>
    <x:row r="76">
      <x:c r="A76" s="22" t="str">
        <x:v>September</x:v>
      </x:c>
      <x:c r="B76" s="23" t="n">
        <x:v>44098</x:v>
      </x:c>
      <x:c r="C76" s="23" t="n">
        <x:v>44098</x:v>
      </x:c>
      <x:c r="D76" s="22" t="str">
        <x:v>Treasure Hunters: Intro to Coin Collecting</x:v>
      </x:c>
      <x:c r="E76" s="22" t="str">
        <x:v>Day Camp</x:v>
      </x:c>
      <x:c r="F76" s="22" t="str"/>
      <x:c r="G76" s="22" t="str">
        <x:v>Christopher's Rare Coins</x:v>
      </x:c>
      <x:c r="H76" s="24"/>
      <x:c r="I76" s="24"/>
      <x:c r="J76" s="25" t="n">
        <x:v>1</x:v>
      </x:c>
      <x:c r="K76" s="26" t="n">
        <x:v>63</x:v>
      </x:c>
      <x:c r="L76" s="26"/>
      <x:c r="M76" s="26"/>
      <x:c r="N76" s="26" t="n">
        <x:v>50</x:v>
      </x:c>
      <x:c r="O76" s="26"/>
      <x:c r="P76" s="26"/>
      <x:c r="Q76" s="26" t="n">
        <x:v>13</x:v>
      </x:c>
      <x:c r="R76" s="26"/>
      <x:c r="S76" s="26"/>
      <x:c r="T76" s="26"/>
      <x:c r="U76" s="26"/>
      <x:c r="V76" s="26" t="n">
        <x:v>126</x:v>
      </x:c>
    </x:row>
    <x:row r="77">
      <x:c r="A77" s="22" t="str">
        <x:v>October</x:v>
      </x:c>
      <x:c r="B77" s="23" t="n">
        <x:v>44129</x:v>
      </x:c>
      <x:c r="C77" s="23" t="n">
        <x:v>44129</x:v>
      </x:c>
      <x:c r="D77" s="22" t="str">
        <x:v>Yellow Ribbon During</x:v>
      </x:c>
      <x:c r="E77" s="22" t="str">
        <x:v>Yellow Ribbon Briefing and Programming</x:v>
      </x:c>
      <x:c r="F77" s="22" t="str"/>
      <x:c r="G77" s="22" t="str"/>
      <x:c r="H77" s="24" t="n">
        <x:v>3</x:v>
      </x:c>
      <x:c r="I77" s="24" t="n">
        <x:v>5</x:v>
      </x:c>
      <x:c r="J77" s="25" t="n">
        <x:v>5</x:v>
      </x:c>
      <x:c r="K77" s="26" t="n">
        <x:v>25</x:v>
      </x:c>
      <x:c r="L77" s="26"/>
      <x:c r="M77" s="26"/>
      <x:c r="N77" s="26" t="n">
        <x:v>5</x:v>
      </x:c>
      <x:c r="O77" s="26"/>
      <x:c r="P77" s="26"/>
      <x:c r="Q77" s="26"/>
      <x:c r="R77" s="26"/>
      <x:c r="S77" s="26"/>
      <x:c r="T77" s="26"/>
      <x:c r="U77" s="26"/>
      <x:c r="V77" s="26" t="n">
        <x:v>30</x:v>
      </x:c>
    </x:row>
    <x:row r="78">
      <x:c r="A78" s="22" t="str">
        <x:v>October</x:v>
      </x:c>
      <x:c r="B78" s="23" t="n">
        <x:v>44129</x:v>
      </x:c>
      <x:c r="C78" s="23" t="n">
        <x:v>44129</x:v>
      </x:c>
      <x:c r="D78" s="22" t="str">
        <x:v>Fall Family Festival 2020</x:v>
      </x:c>
      <x:c r="E78" s="22" t="str">
        <x:v>Family Days and Military Appreciation Events</x:v>
      </x:c>
      <x:c r="F78" s="22" t="str"/>
      <x:c r="G78" s="22" t="str">
        <x:v>IA WFSB</x:v>
      </x:c>
      <x:c r="H78" s="24" t="n">
        <x:v>111</x:v>
      </x:c>
      <x:c r="I78" s="24" t="n">
        <x:v>5</x:v>
      </x:c>
      <x:c r="J78" s="25" t="n">
        <x:v>2</x:v>
      </x:c>
      <x:c r="K78" s="26" t="n">
        <x:v>135</x:v>
      </x:c>
      <x:c r="L78" s="26"/>
      <x:c r="M78" s="26"/>
      <x:c r="N78" s="26" t="n">
        <x:v>101</x:v>
      </x:c>
      <x:c r="O78" s="26"/>
      <x:c r="P78" s="26"/>
      <x:c r="Q78" s="26" t="n">
        <x:v>10</x:v>
      </x:c>
      <x:c r="R78" s="26"/>
      <x:c r="S78" s="26"/>
      <x:c r="T78" s="26"/>
      <x:c r="U78" s="26" t="n">
        <x:v>83</x:v>
      </x:c>
      <x:c r="V78" s="26" t="n">
        <x:v>329</x:v>
      </x:c>
    </x:row>
    <x:row r="79">
      <x:c r="A79" s="22" t="str">
        <x:v>November</x:v>
      </x:c>
      <x:c r="B79" s="23" t="n">
        <x:v>44143</x:v>
      </x:c>
      <x:c r="C79" s="23" t="n">
        <x:v>44143</x:v>
      </x:c>
      <x:c r="D79" s="22" t="str">
        <x:v>State Teen Panel</x:v>
      </x:c>
      <x:c r="E79" s="22" t="str">
        <x:v>Teen Council Meeting or Training</x:v>
      </x:c>
      <x:c r="F79" s="22" t="str"/>
      <x:c r="G79" s="22" t="str"/>
      <x:c r="H79" s="24"/>
      <x:c r="I79" s="24"/>
      <x:c r="J79" s="25" t="n">
        <x:v>1.5</x:v>
      </x:c>
      <x:c r="K79" s="26" t="n">
        <x:v>2</x:v>
      </x:c>
      <x:c r="L79" s="26"/>
      <x:c r="M79" s="26"/>
      <x:c r="N79" s="26"/>
      <x:c r="O79" s="26"/>
      <x:c r="P79" s="26"/>
      <x:c r="Q79" s="26" t="n">
        <x:v>4</x:v>
      </x:c>
      <x:c r="R79" s="26"/>
      <x:c r="S79" s="26"/>
      <x:c r="T79" s="26"/>
      <x:c r="U79" s="26"/>
      <x:c r="V79" s="26" t="n">
        <x:v>6</x:v>
      </x:c>
    </x:row>
    <x:row r="80">
      <x:c r="A80" s="22" t="str">
        <x:v>November</x:v>
      </x:c>
      <x:c r="B80" s="23" t="n">
        <x:v>44149</x:v>
      </x:c>
      <x:c r="C80" s="23" t="n">
        <x:v>44149</x:v>
      </x:c>
      <x:c r="D80" s="22" t="str">
        <x:v>Yellow Ribbon During 1-113</x:v>
      </x:c>
      <x:c r="E80" s="22" t="str">
        <x:v>Yellow Ribbon Briefing and Programming</x:v>
      </x:c>
      <x:c r="F80" s="22" t="str"/>
      <x:c r="G80" s="22" t="str"/>
      <x:c r="H80" s="24"/>
      <x:c r="I80" s="24"/>
      <x:c r="J80" s="25" t="n">
        <x:v>6</x:v>
      </x:c>
      <x:c r="K80" s="26" t="n">
        <x:v>35</x:v>
      </x:c>
      <x:c r="L80" s="26"/>
      <x:c r="M80" s="26"/>
      <x:c r="N80" s="26" t="n">
        <x:v>9</x:v>
      </x:c>
      <x:c r="O80" s="26"/>
      <x:c r="P80" s="26"/>
      <x:c r="Q80" s="26"/>
      <x:c r="R80" s="26"/>
      <x:c r="S80" s="26"/>
      <x:c r="T80" s="26"/>
      <x:c r="U80" s="26"/>
      <x:c r="V80" s="26" t="n">
        <x:v>44</x:v>
      </x:c>
    </x:row>
    <x:row r="81">
      <x:c r="A81" s="22" t="str">
        <x:v>October</x:v>
      </x:c>
      <x:c r="B81" s="23" t="n">
        <x:v>44150</x:v>
      </x:c>
      <x:c r="C81" s="23" t="n">
        <x:v>44150</x:v>
      </x:c>
      <x:c r="D81" s="22" t="str">
        <x:v>Yellow Ribbon During 1-113</x:v>
      </x:c>
      <x:c r="E81" s="22" t="str">
        <x:v>Yellow Ribbon Briefing and Programming</x:v>
      </x:c>
      <x:c r="F81" s="22" t="str"/>
      <x:c r="G81" s="22" t="str"/>
      <x:c r="H81" s="24"/>
      <x:c r="I81" s="24"/>
      <x:c r="J81" s="25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 t="n">
        <x:v>0</x:v>
      </x:c>
    </x:row>
    <x:row r="82">
      <x:c r="A82" s="22" t="str">
        <x:v>November</x:v>
      </x:c>
      <x:c r="B82" s="23" t="n">
        <x:v>44150</x:v>
      </x:c>
      <x:c r="C82" s="23" t="n">
        <x:v>44150</x:v>
      </x:c>
      <x:c r="D82" s="22" t="str">
        <x:v>Yellow Ribbon During 67TC</x:v>
      </x:c>
      <x:c r="E82" s="22" t="str">
        <x:v>Yellow Ribbon Briefing and Programming</x:v>
      </x:c>
      <x:c r="F82" s="22" t="str"/>
      <x:c r="G82" s="22" t="str"/>
      <x:c r="H82" s="24"/>
      <x:c r="I82" s="24"/>
      <x:c r="J82" s="25"/>
      <x:c r="K82" s="26" t="n">
        <x:v>12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 t="n">
        <x:v>12</x:v>
      </x:c>
    </x:row>
    <x:row r="83">
      <x:c r="A83" s="22" t="str">
        <x:v>December</x:v>
      </x:c>
      <x:c r="B83" s="23" t="n">
        <x:v>44179</x:v>
      </x:c>
      <x:c r="C83" s="23" t="n">
        <x:v>44179</x:v>
      </x:c>
      <x:c r="D83" s="22" t="str">
        <x:v>STP Meeting</x:v>
      </x:c>
      <x:c r="E83" s="22" t="str">
        <x:v>Teen Council Meeting or Training</x:v>
      </x:c>
      <x:c r="F83" s="22" t="str"/>
      <x:c r="G83" s="22" t="str"/>
      <x:c r="H83" s="24"/>
      <x:c r="I83" s="24"/>
      <x:c r="J83" s="25" t="n">
        <x:v>1.5</x:v>
      </x:c>
      <x:c r="K83" s="26"/>
      <x:c r="L83" s="26"/>
      <x:c r="M83" s="26"/>
      <x:c r="N83" s="26"/>
      <x:c r="O83" s="26"/>
      <x:c r="P83" s="26"/>
      <x:c r="Q83" s="26" t="n">
        <x:v>4</x:v>
      </x:c>
      <x:c r="R83" s="26" t="n">
        <x:v>1</x:v>
      </x:c>
      <x:c r="S83" s="26"/>
      <x:c r="T83" s="26"/>
      <x:c r="U83" s="26"/>
      <x:c r="V83" s="26" t="n">
        <x:v>5</x:v>
      </x:c>
    </x:row>
    <x:row r="84">
      <x:c r="A84" s="22" t="str">
        <x:v>January</x:v>
      </x:c>
      <x:c r="B84" s="23" t="n">
        <x:v>44202</x:v>
      </x:c>
      <x:c r="C84" s="23" t="n">
        <x:v>44202</x:v>
      </x:c>
      <x:c r="D84" s="22" t="str">
        <x:v>Deployment 101 Training</x:v>
      </x:c>
      <x:c r="E84" s="22" t="str">
        <x:v>Yellow Ribbon Briefing and Programming</x:v>
      </x:c>
      <x:c r="F84" s="22" t="str"/>
      <x:c r="G84" s="22" t="str">
        <x:v>WFSB</x:v>
      </x:c>
      <x:c r="H84" s="24"/>
      <x:c r="I84" s="24"/>
      <x:c r="J84" s="25"/>
      <x:c r="K84" s="26" t="n">
        <x:v>53</x:v>
      </x:c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 t="n">
        <x:v>53</x:v>
      </x:c>
    </x:row>
    <x:row r="85">
      <x:c r="A85" s="22" t="str">
        <x:v>January</x:v>
      </x:c>
      <x:c r="B85" s="23" t="n">
        <x:v>44214</x:v>
      </x:c>
      <x:c r="C85" s="23" t="n">
        <x:v>44214</x:v>
      </x:c>
      <x:c r="D85" s="22" t="str">
        <x:v>MFC: Winter Outpost</x:v>
      </x:c>
      <x:c r="E85" s="22" t="str">
        <x:v>Day Camp</x:v>
      </x:c>
      <x:c r="F85" s="22" t="str"/>
      <x:c r="G85" s="22" t="str"/>
      <x:c r="H85" s="24"/>
      <x:c r="I85" s="24"/>
      <x:c r="J85" s="25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 t="n">
        <x:v>0</x:v>
      </x:c>
    </x:row>
    <x:row r="86">
      <x:c r="A86" s="22" t="str">
        <x:v>January</x:v>
      </x:c>
      <x:c r="B86" s="23" t="n">
        <x:v>44219</x:v>
      </x:c>
      <x:c r="C86" s="23" t="n">
        <x:v>44220</x:v>
      </x:c>
      <x:c r="D86" s="22" t="str">
        <x:v>YR Post C/2-147th</x:v>
      </x:c>
      <x:c r="E86" s="22" t="str">
        <x:v>Yellow Ribbon Briefing and Programming</x:v>
      </x:c>
      <x:c r="F86" s="22" t="str"/>
      <x:c r="G86" s="22" t="str"/>
      <x:c r="H86" s="24" t="n">
        <x:v>1</x:v>
      </x:c>
      <x:c r="I86" s="24" t="n">
        <x:v>16</x:v>
      </x:c>
      <x:c r="J86" s="25" t="n">
        <x:v>14.5</x:v>
      </x:c>
      <x:c r="K86" s="26" t="n">
        <x:v>92</x:v>
      </x:c>
      <x:c r="L86" s="26"/>
      <x:c r="M86" s="26"/>
      <x:c r="N86" s="26" t="n">
        <x:v>9</x:v>
      </x:c>
      <x:c r="O86" s="26"/>
      <x:c r="P86" s="26"/>
      <x:c r="Q86" s="26" t="n">
        <x:v>1</x:v>
      </x:c>
      <x:c r="R86" s="26"/>
      <x:c r="S86" s="26"/>
      <x:c r="T86" s="26"/>
      <x:c r="U86" s="26" t="n">
        <x:v>5</x:v>
      </x:c>
      <x:c r="V86" s="26" t="n">
        <x:v>107</x:v>
      </x:c>
    </x:row>
    <x:row r="87">
      <x:c r="A87" s="22" t="str">
        <x:v>January</x:v>
      </x:c>
      <x:c r="B87" s="23" t="n">
        <x:v>44219</x:v>
      </x:c>
      <x:c r="C87" s="23" t="n">
        <x:v>44220</x:v>
      </x:c>
      <x:c r="D87" s="22" t="str">
        <x:v>Yellow Ribbon Post</x:v>
      </x:c>
      <x:c r="E87" s="22" t="str">
        <x:v>Yellow Ribbon Briefing and Programming</x:v>
      </x:c>
      <x:c r="F87" s="22" t="str"/>
      <x:c r="G87" s="22" t="str">
        <x:v>WFSB</x:v>
      </x:c>
      <x:c r="H87" s="24" t="n">
        <x:v>1</x:v>
      </x:c>
      <x:c r="I87" s="24" t="n">
        <x:v>16</x:v>
      </x:c>
      <x:c r="J87" s="25" t="n">
        <x:v>14.5</x:v>
      </x:c>
      <x:c r="K87" s="26" t="n">
        <x:v>92</x:v>
      </x:c>
      <x:c r="L87" s="26"/>
      <x:c r="M87" s="26"/>
      <x:c r="N87" s="26" t="n">
        <x:v>9</x:v>
      </x:c>
      <x:c r="O87" s="26"/>
      <x:c r="P87" s="26"/>
      <x:c r="Q87" s="26" t="n">
        <x:v>1</x:v>
      </x:c>
      <x:c r="R87" s="26"/>
      <x:c r="S87" s="26"/>
      <x:c r="T87" s="26"/>
      <x:c r="U87" s="26" t="n">
        <x:v>5</x:v>
      </x:c>
      <x:c r="V87" s="26" t="n">
        <x:v>107</x:v>
      </x:c>
    </x:row>
    <x:row r="88">
      <x:c r="A88" s="22" t="str">
        <x:v>February</x:v>
      </x:c>
      <x:c r="B88" s="23" t="n">
        <x:v>44248</x:v>
      </x:c>
      <x:c r="C88" s="23" t="n">
        <x:v>44248</x:v>
      </x:c>
      <x:c r="D88" s="22" t="str">
        <x:v>Deployment 101</x:v>
      </x:c>
      <x:c r="E88" s="22" t="str">
        <x:v>Command/Unit/FRG Briefings</x:v>
      </x:c>
      <x:c r="F88" s="22" t="str"/>
      <x:c r="G88" s="22" t="str">
        <x:v>WFSB</x:v>
      </x:c>
      <x:c r="H88" s="24"/>
      <x:c r="I88" s="24"/>
      <x:c r="J88" s="25" t="n">
        <x:v>1</x:v>
      </x:c>
      <x:c r="K88" s="26" t="n">
        <x:v>34</x:v>
      </x:c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 t="n">
        <x:v>34</x:v>
      </x:c>
    </x:row>
    <x:row r="89">
      <x:c r="A89" s="22" t="str">
        <x:v>February</x:v>
      </x:c>
      <x:c r="B89" s="23" t="n">
        <x:v>44253</x:v>
      </x:c>
      <x:c r="C89" s="23" t="n">
        <x:v>44253</x:v>
      </x:c>
      <x:c r="D89" s="22" t="str">
        <x:v>The Hangout: Friendship Bracelets</x:v>
      </x:c>
      <x:c r="E89" s="22" t="str">
        <x:v>Partnered Event or Activity</x:v>
      </x:c>
      <x:c r="F89" s="22" t="str"/>
      <x:c r="G89" s="22" t="str">
        <x:v> </x:v>
      </x:c>
      <x:c r="H89" s="24"/>
      <x:c r="I89" s="24"/>
      <x:c r="J89" s="25" t="n">
        <x:v>1</x:v>
      </x:c>
      <x:c r="K89" s="26"/>
      <x:c r="L89" s="26"/>
      <x:c r="M89" s="26"/>
      <x:c r="N89" s="26" t="n">
        <x:v>89</x:v>
      </x:c>
      <x:c r="O89" s="26"/>
      <x:c r="P89" s="26"/>
      <x:c r="Q89" s="26" t="n">
        <x:v>10</x:v>
      </x:c>
      <x:c r="R89" s="26"/>
      <x:c r="S89" s="26"/>
      <x:c r="T89" s="26"/>
      <x:c r="U89" s="26"/>
      <x:c r="V89" s="26" t="n">
        <x:v>99</x:v>
      </x:c>
    </x:row>
    <x:row r="90">
      <x:c r="A90" s="22" t="str">
        <x:v>February</x:v>
      </x:c>
      <x:c r="B90" s="23" t="n">
        <x:v>44254</x:v>
      </x:c>
      <x:c r="C90" s="23" t="n">
        <x:v>44255</x:v>
      </x:c>
      <x:c r="D90" s="22" t="str">
        <x:v>STP Retreat</x:v>
      </x:c>
      <x:c r="E90" s="22" t="str">
        <x:v>Teen Council Meeting or Training</x:v>
      </x:c>
      <x:c r="F90" s="22" t="str"/>
      <x:c r="G90" s="22" t="str"/>
      <x:c r="H90" s="24"/>
      <x:c r="I90" s="24"/>
      <x:c r="J90" s="25" t="n">
        <x:v>21</x:v>
      </x:c>
      <x:c r="K90" s="26"/>
      <x:c r="L90" s="26"/>
      <x:c r="M90" s="26"/>
      <x:c r="N90" s="26"/>
      <x:c r="O90" s="26"/>
      <x:c r="P90" s="26"/>
      <x:c r="Q90" s="26" t="n">
        <x:v>5</x:v>
      </x:c>
      <x:c r="R90" s="26"/>
      <x:c r="S90" s="26"/>
      <x:c r="T90" s="26"/>
      <x:c r="U90" s="26"/>
      <x:c r="V90" s="26" t="n">
        <x:v>5</x:v>
      </x:c>
    </x:row>
    <x:row r="91">
      <x:c r="A91" s="22" t="str">
        <x:v>March</x:v>
      </x:c>
      <x:c r="B91" s="23" t="n">
        <x:v>44261</x:v>
      </x:c>
      <x:c r="C91" s="23" t="n">
        <x:v>44261</x:v>
      </x:c>
      <x:c r="D91" s="22" t="str">
        <x:v>YR During 1-168 IN </x:v>
      </x:c>
      <x:c r="E91" s="22" t="str">
        <x:v>Yellow Ribbon Briefing and Programming</x:v>
      </x:c>
      <x:c r="F91" s="22" t="str"/>
      <x:c r="G91" s="22" t="str"/>
      <x:c r="H91" s="24"/>
      <x:c r="I91" s="24"/>
      <x:c r="J91" s="25" t="n">
        <x:v>5</x:v>
      </x:c>
      <x:c r="K91" s="26"/>
      <x:c r="L91" s="26"/>
      <x:c r="M91" s="26"/>
      <x:c r="N91" s="26" t="n">
        <x:v>4</x:v>
      </x:c>
      <x:c r="O91" s="26"/>
      <x:c r="P91" s="26"/>
      <x:c r="Q91" s="26" t="n">
        <x:v>1</x:v>
      </x:c>
      <x:c r="R91" s="26"/>
      <x:c r="S91" s="26"/>
      <x:c r="T91" s="26"/>
      <x:c r="U91" s="26"/>
      <x:c r="V91" s="26" t="n">
        <x:v>5</x:v>
      </x:c>
    </x:row>
    <x:row r="92">
      <x:c r="A92" s="22" t="str">
        <x:v>March</x:v>
      </x:c>
      <x:c r="B92" s="23" t="n">
        <x:v>44275</x:v>
      </x:c>
      <x:c r="C92" s="23" t="n">
        <x:v>44275</x:v>
      </x:c>
      <x:c r="D92" s="22" t="str">
        <x:v>YR During 1-113</x:v>
      </x:c>
      <x:c r="E92" s="22" t="str">
        <x:v>Yellow Ribbon Briefing and Programming</x:v>
      </x:c>
      <x:c r="F92" s="22" t="str"/>
      <x:c r="G92" s="22" t="str"/>
      <x:c r="H92" s="24"/>
      <x:c r="I92" s="24"/>
      <x:c r="J92" s="25" t="n">
        <x:v>6</x:v>
      </x:c>
      <x:c r="K92" s="26" t="n">
        <x:v>60</x:v>
      </x:c>
      <x:c r="L92" s="26"/>
      <x:c r="M92" s="26"/>
      <x:c r="N92" s="26" t="n">
        <x:v>9</x:v>
      </x:c>
      <x:c r="O92" s="26"/>
      <x:c r="P92" s="26"/>
      <x:c r="Q92" s="26"/>
      <x:c r="R92" s="26"/>
      <x:c r="S92" s="26"/>
      <x:c r="T92" s="26"/>
      <x:c r="U92" s="26"/>
      <x:c r="V92" s="26" t="n">
        <x:v>69</x:v>
      </x:c>
    </x:row>
    <x:row r="93">
      <x:c r="A93" s="22" t="str">
        <x:v>March</x:v>
      </x:c>
      <x:c r="B93" s="23" t="n">
        <x:v>44282</x:v>
      </x:c>
      <x:c r="C93" s="23" t="n">
        <x:v>44282</x:v>
      </x:c>
      <x:c r="D93" s="22" t="str">
        <x:v>YR Ribbon During 1-113</x:v>
      </x:c>
      <x:c r="E93" s="22" t="str">
        <x:v>Yellow Ribbon Briefing and Programming</x:v>
      </x:c>
      <x:c r="F93" s="22" t="str"/>
      <x:c r="G93" s="22" t="str"/>
      <x:c r="H93" s="24"/>
      <x:c r="I93" s="24"/>
      <x:c r="J93" s="25" t="n">
        <x:v>6</x:v>
      </x:c>
      <x:c r="K93" s="26" t="n">
        <x:v>50</x:v>
      </x:c>
      <x:c r="L93" s="26"/>
      <x:c r="M93" s="26"/>
      <x:c r="N93" s="26" t="n">
        <x:v>11</x:v>
      </x:c>
      <x:c r="O93" s="26"/>
      <x:c r="P93" s="26"/>
      <x:c r="Q93" s="26"/>
      <x:c r="R93" s="26"/>
      <x:c r="S93" s="26"/>
      <x:c r="T93" s="26"/>
      <x:c r="U93" s="26" t="n">
        <x:v>5</x:v>
      </x:c>
      <x:c r="V93" s="26" t="n">
        <x:v>66</x:v>
      </x:c>
    </x:row>
    <x:row r="94">
      <x:c r="A94" s="22" t="str">
        <x:v>April</x:v>
      </x:c>
      <x:c r="B94" s="23" t="n">
        <x:v>44289</x:v>
      </x:c>
      <x:c r="C94" s="23" t="n">
        <x:v>44289</x:v>
      </x:c>
      <x:c r="D94" s="22" t="str">
        <x:v>MFE: Easter</x:v>
      </x:c>
      <x:c r="E94" s="22" t="str">
        <x:v>Day Camp</x:v>
      </x:c>
      <x:c r="F94" s="22" t="str"/>
      <x:c r="G94" s="22" t="str"/>
      <x:c r="H94" s="24"/>
      <x:c r="I94" s="24"/>
      <x:c r="J94" s="25" t="n">
        <x:v>4</x:v>
      </x:c>
      <x:c r="K94" s="26" t="n">
        <x:v>56</x:v>
      </x:c>
      <x:c r="L94" s="26"/>
      <x:c r="M94" s="26"/>
      <x:c r="N94" s="26" t="n">
        <x:v>12</x:v>
      </x:c>
      <x:c r="O94" s="26"/>
      <x:c r="P94" s="26"/>
      <x:c r="Q94" s="26" t="n">
        <x:v>6</x:v>
      </x:c>
      <x:c r="R94" s="26"/>
      <x:c r="S94" s="26"/>
      <x:c r="T94" s="26"/>
      <x:c r="U94" s="26" t="n">
        <x:v>19</x:v>
      </x:c>
      <x:c r="V94" s="26" t="n">
        <x:v>93</x:v>
      </x:c>
    </x:row>
    <x:row r="95">
      <x:c r="A95" s="22" t="str">
        <x:v>April</x:v>
      </x:c>
      <x:c r="B95" s="23" t="n">
        <x:v>44296</x:v>
      </x:c>
      <x:c r="C95" s="23" t="n">
        <x:v>44296</x:v>
      </x:c>
      <x:c r="D95" s="22" t="str">
        <x:v>YR During B/1-171</x:v>
      </x:c>
      <x:c r="E95" s="22" t="str">
        <x:v>Yellow Ribbon Briefing and Programming</x:v>
      </x:c>
      <x:c r="F95" s="22" t="str"/>
      <x:c r="G95" s="22" t="str"/>
      <x:c r="H95" s="24"/>
      <x:c r="I95" s="24"/>
      <x:c r="J95" s="25" t="n">
        <x:v>2</x:v>
      </x:c>
      <x:c r="K95" s="26" t="n">
        <x:v>15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 t="n">
        <x:v>15</x:v>
      </x:c>
    </x:row>
    <x:row r="96">
      <x:c r="A96" s="22" t="str">
        <x:v>April</x:v>
      </x:c>
      <x:c r="B96" s="23" t="n">
        <x:v>44297</x:v>
      </x:c>
      <x:c r="C96" s="23" t="n">
        <x:v>44297</x:v>
      </x:c>
      <x:c r="D96" s="22" t="str">
        <x:v>Yellow Ribbon 734 RSG/ 3654 SMC</x:v>
      </x:c>
      <x:c r="E96" s="22" t="str">
        <x:v>Yellow Ribbon Briefing and Programming</x:v>
      </x:c>
      <x:c r="F96" s="22" t="str"/>
      <x:c r="G96" s="22" t="str"/>
      <x:c r="H96" s="24"/>
      <x:c r="I96" s="24"/>
      <x:c r="J96" s="25"/>
      <x:c r="K96" s="26" t="n">
        <x:v>24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 t="n">
        <x:v>24</x:v>
      </x:c>
    </x:row>
    <x:row r="97">
      <x:c r="A97" s="22" t="str">
        <x:v>April</x:v>
      </x:c>
      <x:c r="B97" s="23" t="n">
        <x:v>44298</x:v>
      </x:c>
      <x:c r="C97" s="23" t="n">
        <x:v>44298</x:v>
      </x:c>
      <x:c r="D97" s="22" t="str">
        <x:v>Proclamation Signing</x:v>
      </x:c>
      <x:c r="E97" s="22" t="str">
        <x:v>MOMC</x:v>
      </x:c>
      <x:c r="F97" s="22" t="str"/>
      <x:c r="G97" s="22" t="str"/>
      <x:c r="H97" s="24"/>
      <x:c r="I97" s="24"/>
      <x:c r="J97" s="25" t="n">
        <x:v>1</x:v>
      </x:c>
      <x:c r="K97" s="26" t="n">
        <x:v>15</x:v>
      </x:c>
      <x:c r="L97" s="26"/>
      <x:c r="M97" s="26"/>
      <x:c r="N97" s="26" t="n">
        <x:v>3</x:v>
      </x:c>
      <x:c r="O97" s="26"/>
      <x:c r="P97" s="26"/>
      <x:c r="Q97" s="26" t="n">
        <x:v>2</x:v>
      </x:c>
      <x:c r="R97" s="26"/>
      <x:c r="S97" s="26"/>
      <x:c r="T97" s="26"/>
      <x:c r="U97" s="26"/>
      <x:c r="V97" s="26" t="n">
        <x:v>20</x:v>
      </x:c>
    </x:row>
    <x:row r="98">
      <x:c r="A98" s="22" t="str">
        <x:v>April</x:v>
      </x:c>
      <x:c r="B98" s="23" t="n">
        <x:v>44316</x:v>
      </x:c>
      <x:c r="C98" s="23" t="n">
        <x:v>44316</x:v>
      </x:c>
      <x:c r="D98" s="22" t="str">
        <x:v>Celebrate MOMC</x:v>
      </x:c>
      <x:c r="E98" s="22" t="str">
        <x:v>MOMC</x:v>
      </x:c>
      <x:c r="F98" s="22" t="str"/>
      <x:c r="G98" s="22" t="str"/>
      <x:c r="H98" s="24"/>
      <x:c r="I98" s="24"/>
      <x:c r="J98" s="25" t="n">
        <x:v>1</x:v>
      </x:c>
      <x:c r="K98" s="26"/>
      <x:c r="L98" s="26"/>
      <x:c r="M98" s="26"/>
      <x:c r="N98" s="26" t="n">
        <x:v>82</x:v>
      </x:c>
      <x:c r="O98" s="26"/>
      <x:c r="P98" s="26"/>
      <x:c r="Q98" s="26" t="n">
        <x:v>16</x:v>
      </x:c>
      <x:c r="R98" s="26"/>
      <x:c r="S98" s="26"/>
      <x:c r="T98" s="26"/>
      <x:c r="U98" s="26" t="n">
        <x:v>14</x:v>
      </x:c>
      <x:c r="V98" s="26" t="n">
        <x:v>112</x:v>
      </x:c>
    </x:row>
    <x:row r="99">
      <x:c r="A99" s="22" t="str">
        <x:v>May</x:v>
      </x:c>
      <x:c r="B99" s="23" t="n">
        <x:v>44324</x:v>
      </x:c>
      <x:c r="C99" s="23" t="n">
        <x:v>44324</x:v>
      </x:c>
      <x:c r="D99" s="22" t="str">
        <x:v>Yellow Ribbon During 1-194 FA </x:v>
      </x:c>
      <x:c r="E99" s="22" t="str">
        <x:v>Yellow Ribbon Briefing and Programming</x:v>
      </x:c>
      <x:c r="F99" s="22" t="str"/>
      <x:c r="G99" s="22" t="str"/>
      <x:c r="H99" s="24"/>
      <x:c r="I99" s="24"/>
      <x:c r="J99" s="25"/>
      <x:c r="K99" s="26" t="n">
        <x:v>28</x:v>
      </x:c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 t="n">
        <x:v>28</x:v>
      </x:c>
    </x:row>
    <x:row r="100">
      <x:c r="A100" s="22" t="str">
        <x:v>May</x:v>
      </x:c>
      <x:c r="B100" s="23" t="n">
        <x:v>44332</x:v>
      </x:c>
      <x:c r="C100" s="23" t="n">
        <x:v>44332</x:v>
      </x:c>
      <x:c r="D100" s="22" t="str">
        <x:v>MFE: Drop Zone</x:v>
      </x:c>
      <x:c r="E100" s="22" t="str">
        <x:v>Day Camp</x:v>
      </x:c>
      <x:c r="F100" s="22" t="str"/>
      <x:c r="G100" s="22" t="str"/>
      <x:c r="H100" s="24" t="n">
        <x:v>1</x:v>
      </x:c>
      <x:c r="I100" s="24" t="n">
        <x:v>3</x:v>
      </x:c>
      <x:c r="J100" s="25" t="n">
        <x:v>3</x:v>
      </x:c>
      <x:c r="K100" s="26" t="n">
        <x:v>22</x:v>
      </x:c>
      <x:c r="L100" s="26"/>
      <x:c r="M100" s="26"/>
      <x:c r="N100" s="26" t="n">
        <x:v>50</x:v>
      </x:c>
      <x:c r="O100" s="26"/>
      <x:c r="P100" s="26"/>
      <x:c r="Q100" s="26" t="n">
        <x:v>12</x:v>
      </x:c>
      <x:c r="R100" s="26"/>
      <x:c r="S100" s="26"/>
      <x:c r="T100" s="26"/>
      <x:c r="U100" s="26"/>
      <x:c r="V100" s="26" t="n">
        <x:v>84</x:v>
      </x:c>
    </x:row>
    <x:row r="101">
      <x:c r="A101" s="22" t="str">
        <x:v>June</x:v>
      </x:c>
      <x:c r="B101" s="23" t="n">
        <x:v>44352</x:v>
      </x:c>
      <x:c r="C101" s="23" t="n">
        <x:v>44352</x:v>
      </x:c>
      <x:c r="D101" s="22" t="str">
        <x:v>MFE Lost Island</x:v>
      </x:c>
      <x:c r="E101" s="22" t="str">
        <x:v>Day Camp</x:v>
      </x:c>
      <x:c r="F101" s="22" t="str"/>
      <x:c r="G101" s="22" t="str"/>
      <x:c r="H101" s="24"/>
      <x:c r="I101" s="24"/>
      <x:c r="J101" s="25" t="n">
        <x:v>8</x:v>
      </x:c>
      <x:c r="K101" s="26" t="n">
        <x:v>20</x:v>
      </x:c>
      <x:c r="L101" s="26"/>
      <x:c r="M101" s="26"/>
      <x:c r="N101" s="26" t="n">
        <x:v>36</x:v>
      </x:c>
      <x:c r="O101" s="26"/>
      <x:c r="P101" s="26"/>
      <x:c r="Q101" s="26" t="n">
        <x:v>6</x:v>
      </x:c>
      <x:c r="R101" s="26"/>
      <x:c r="S101" s="26"/>
      <x:c r="T101" s="26"/>
      <x:c r="U101" s="26" t="n">
        <x:v>3</x:v>
      </x:c>
      <x:c r="V101" s="26" t="n">
        <x:v>65</x:v>
      </x:c>
    </x:row>
    <x:row r="102">
      <x:c r="A102" s="22" t="str">
        <x:v>June</x:v>
      </x:c>
      <x:c r="B102" s="23" t="n">
        <x:v>44369</x:v>
      </x:c>
      <x:c r="C102" s="23" t="n">
        <x:v>44369</x:v>
      </x:c>
      <x:c r="D102" s="22" t="str">
        <x:v>USO Book Reading</x:v>
      </x:c>
      <x:c r="E102" s="22" t="str">
        <x:v>Day Camp</x:v>
      </x:c>
      <x:c r="F102" s="22" t="str"/>
      <x:c r="G102" s="22" t="str"/>
      <x:c r="H102" s="24"/>
      <x:c r="I102" s="24"/>
      <x:c r="J102" s="25" t="n">
        <x:v>1</x:v>
      </x:c>
      <x:c r="K102" s="26" t="n">
        <x:v>7</x:v>
      </x:c>
      <x:c r="L102" s="26"/>
      <x:c r="M102" s="26"/>
      <x:c r="N102" s="26" t="n">
        <x:v>5</x:v>
      </x:c>
      <x:c r="O102" s="26"/>
      <x:c r="P102" s="26"/>
      <x:c r="Q102" s="26"/>
      <x:c r="R102" s="26"/>
      <x:c r="S102" s="26"/>
      <x:c r="T102" s="26"/>
      <x:c r="U102" s="26"/>
      <x:c r="V102" s="26" t="n">
        <x:v>12</x:v>
      </x:c>
    </x:row>
    <x:row r="103">
      <x:c r="A103" s="22" t="str">
        <x:v>June</x:v>
      </x:c>
      <x:c r="B103" s="23" t="n">
        <x:v>44369</x:v>
      </x:c>
      <x:c r="C103" s="23" t="n">
        <x:v>44369</x:v>
      </x:c>
      <x:c r="D103" s="22" t="str">
        <x:v>Volunteer Training</x:v>
      </x:c>
      <x:c r="E103" s="22" t="str">
        <x:v>Volunteer Training</x:v>
      </x:c>
      <x:c r="F103" s="22" t="str"/>
      <x:c r="G103" s="22" t="str"/>
      <x:c r="H103" s="24" t="n">
        <x:v>7</x:v>
      </x:c>
      <x:c r="I103" s="24"/>
      <x:c r="J103" s="25" t="n">
        <x:v>5</x:v>
      </x:c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 t="n">
        <x:v>7</x:v>
      </x:c>
      <x:c r="U103" s="26"/>
      <x:c r="V103" s="26" t="n">
        <x:v>7</x:v>
      </x:c>
    </x:row>
    <x:row r="104">
      <x:c r="A104" s="22" t="str">
        <x:v>June</x:v>
      </x:c>
      <x:c r="B104" s="23" t="n">
        <x:v>44371</x:v>
      </x:c>
      <x:c r="C104" s="23" t="n">
        <x:v>44371</x:v>
      </x:c>
      <x:c r="D104" s="22" t="str">
        <x:v>TAG Concert</x:v>
      </x:c>
      <x:c r="E104" s="22" t="str">
        <x:v>Family Days and Military Appreciation Events</x:v>
      </x:c>
      <x:c r="F104" s="22" t="str"/>
      <x:c r="G104" s="22" t="str"/>
      <x:c r="H104" s="24"/>
      <x:c r="I104" s="24"/>
      <x:c r="J104" s="25" t="n">
        <x:v>3</x:v>
      </x:c>
      <x:c r="K104" s="26" t="n">
        <x:v>12</x:v>
      </x:c>
      <x:c r="L104" s="26"/>
      <x:c r="M104" s="26"/>
      <x:c r="N104" s="26" t="n">
        <x:v>36</x:v>
      </x:c>
      <x:c r="O104" s="26"/>
      <x:c r="P104" s="26"/>
      <x:c r="Q104" s="26" t="n">
        <x:v>18</x:v>
      </x:c>
      <x:c r="R104" s="26"/>
      <x:c r="S104" s="26"/>
      <x:c r="T104" s="26"/>
      <x:c r="U104" s="26" t="n">
        <x:v>15</x:v>
      </x:c>
      <x:c r="V104" s="26" t="n">
        <x:v>81</x:v>
      </x:c>
    </x:row>
    <x:row r="105">
      <x:c r="A105" s="22" t="str">
        <x:v>June</x:v>
      </x:c>
      <x:c r="B105" s="23" t="n">
        <x:v>44373</x:v>
      </x:c>
      <x:c r="C105" s="23" t="n">
        <x:v>44374</x:v>
      </x:c>
      <x:c r="D105" s="22" t="str">
        <x:v>Yellow Ribbon</x:v>
      </x:c>
      <x:c r="E105" s="22" t="str">
        <x:v>Yellow Ribbon Briefing and Programming</x:v>
      </x:c>
      <x:c r="F105" s="22" t="str"/>
      <x:c r="G105" s="22" t="str"/>
      <x:c r="H105" s="24" t="n">
        <x:v>5</x:v>
      </x:c>
      <x:c r="I105" s="24" t="n">
        <x:v>16</x:v>
      </x:c>
      <x:c r="J105" s="25" t="n">
        <x:v>16</x:v>
      </x:c>
      <x:c r="K105" s="26" t="n">
        <x:v>380</x:v>
      </x:c>
      <x:c r="L105" s="26"/>
      <x:c r="M105" s="26"/>
      <x:c r="N105" s="26" t="n">
        <x:v>10</x:v>
      </x:c>
      <x:c r="O105" s="26"/>
      <x:c r="P105" s="26"/>
      <x:c r="Q105" s="26"/>
      <x:c r="R105" s="26"/>
      <x:c r="S105" s="26"/>
      <x:c r="T105" s="26"/>
      <x:c r="U105" s="26" t="n">
        <x:v>8</x:v>
      </x:c>
      <x:c r="V105" s="26" t="n">
        <x:v>398</x:v>
      </x:c>
    </x:row>
    <x:row r="106">
      <x:c r="A106" s="22" t="str">
        <x:v>June</x:v>
      </x:c>
      <x:c r="B106" s="23" t="n">
        <x:v>44374</x:v>
      </x:c>
      <x:c r="C106" s="23" t="n">
        <x:v>44379</x:v>
      </x:c>
      <x:c r="D106" s="22" t="str">
        <x:v>Summer Youth Symposium</x:v>
      </x:c>
      <x:c r="E106" s="22" t="str">
        <x:v>Youth Symposium</x:v>
      </x:c>
      <x:c r="F106" s="22" t="str"/>
      <x:c r="G106" s="22" t="str"/>
      <x:c r="H106" s="24" t="n">
        <x:v>25</x:v>
      </x:c>
      <x:c r="I106" s="24" t="n">
        <x:v>76</x:v>
      </x:c>
      <x:c r="J106" s="25" t="n">
        <x:v>76</x:v>
      </x:c>
      <x:c r="K106" s="26" t="n">
        <x:v>40</x:v>
      </x:c>
      <x:c r="L106" s="26"/>
      <x:c r="M106" s="26"/>
      <x:c r="N106" s="26" t="n">
        <x:v>45</x:v>
      </x:c>
      <x:c r="O106" s="26"/>
      <x:c r="P106" s="26"/>
      <x:c r="Q106" s="26" t="n">
        <x:v>29</x:v>
      </x:c>
      <x:c r="R106" s="26"/>
      <x:c r="S106" s="26"/>
      <x:c r="T106" s="26"/>
      <x:c r="U106" s="26"/>
      <x:c r="V106" s="26" t="n">
        <x:v>114</x:v>
      </x:c>
    </x:row>
    <x:row r="107">
      <x:c r="A107" s="22" t="str">
        <x:v>June</x:v>
      </x:c>
      <x:c r="B107" s="23" t="n">
        <x:v>44374</x:v>
      </x:c>
      <x:c r="C107" s="23" t="n">
        <x:v>44374</x:v>
      </x:c>
      <x:c r="D107" s="22" t="str">
        <x:v>Volunteer Training</x:v>
      </x:c>
      <x:c r="E107" s="22" t="str">
        <x:v>Volunteer Training</x:v>
      </x:c>
      <x:c r="F107" s="22" t="str"/>
      <x:c r="G107" s="22" t="str"/>
      <x:c r="H107" s="24"/>
      <x:c r="I107" s="24"/>
      <x:c r="J107" s="25" t="n">
        <x:v>2</x:v>
      </x:c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 t="n">
        <x:v>25</x:v>
      </x:c>
      <x:c r="U107" s="26"/>
      <x:c r="V107" s="26" t="n">
        <x:v>25</x:v>
      </x:c>
    </x:row>
    <x:row r="108">
      <x:c r="A108" s="22" t="str">
        <x:v>July</x:v>
      </x:c>
      <x:c r="B108" s="23" t="n">
        <x:v>44378</x:v>
      </x:c>
      <x:c r="C108" s="23" t="n">
        <x:v>44378</x:v>
      </x:c>
      <x:c r="D108" s="22" t="str">
        <x:v>TAG Concert</x:v>
      </x:c>
      <x:c r="E108" s="22" t="str">
        <x:v>Family Days and Military Appreciation Events</x:v>
      </x:c>
      <x:c r="F108" s="22" t="str"/>
      <x:c r="G108" s="22" t="str"/>
      <x:c r="H108" s="24"/>
      <x:c r="I108" s="24"/>
      <x:c r="J108" s="25" t="n">
        <x:v>3</x:v>
      </x:c>
      <x:c r="K108" s="26"/>
      <x:c r="L108" s="26"/>
      <x:c r="M108" s="26"/>
      <x:c r="N108" s="26" t="n">
        <x:v>36</x:v>
      </x:c>
      <x:c r="O108" s="26"/>
      <x:c r="P108" s="26"/>
      <x:c r="Q108" s="26" t="n">
        <x:v>6</x:v>
      </x:c>
      <x:c r="R108" s="26"/>
      <x:c r="S108" s="26"/>
      <x:c r="T108" s="26"/>
      <x:c r="U108" s="26"/>
      <x:c r="V108" s="26" t="n">
        <x:v>42</x:v>
      </x:c>
    </x:row>
    <x:row r="109">
      <x:c r="A109" s="22" t="str">
        <x:v>July</x:v>
      </x:c>
      <x:c r="B109" s="23" t="n">
        <x:v>44385</x:v>
      </x:c>
      <x:c r="C109" s="23" t="n">
        <x:v>44385</x:v>
      </x:c>
      <x:c r="D109" s="22" t="str">
        <x:v>Camp Dodge Concert Series</x:v>
      </x:c>
      <x:c r="E109" s="22" t="str">
        <x:v>Family Days and Military Appreciation Events</x:v>
      </x:c>
      <x:c r="F109" s="22" t="str"/>
      <x:c r="G109" s="22" t="str"/>
      <x:c r="H109" s="24"/>
      <x:c r="I109" s="24"/>
      <x:c r="J109" s="25" t="n">
        <x:v>3</x:v>
      </x:c>
      <x:c r="K109" s="26"/>
      <x:c r="L109" s="26"/>
      <x:c r="M109" s="26"/>
      <x:c r="N109" s="26" t="n">
        <x:v>34</x:v>
      </x:c>
      <x:c r="O109" s="26"/>
      <x:c r="P109" s="26"/>
      <x:c r="Q109" s="26" t="n">
        <x:v>14</x:v>
      </x:c>
      <x:c r="R109" s="26"/>
      <x:c r="S109" s="26"/>
      <x:c r="T109" s="26"/>
      <x:c r="U109" s="26"/>
      <x:c r="V109" s="26" t="n">
        <x:v>48</x:v>
      </x:c>
    </x:row>
    <x:row r="110">
      <x:c r="A110" s="22" t="str">
        <x:v>July</x:v>
      </x:c>
      <x:c r="B110" s="23" t="n">
        <x:v>44387</x:v>
      </x:c>
      <x:c r="C110" s="23" t="n">
        <x:v>44388</x:v>
      </x:c>
      <x:c r="D110" s="22" t="str">
        <x:v>YR Post 133</x:v>
      </x:c>
      <x:c r="E110" s="22" t="str">
        <x:v>Yellow Ribbon Briefing and Programming</x:v>
      </x:c>
      <x:c r="F110" s="22" t="str"/>
      <x:c r="G110" s="22" t="str"/>
      <x:c r="H110" s="24" t="n">
        <x:v>1</x:v>
      </x:c>
      <x:c r="I110" s="24" t="n">
        <x:v>14</x:v>
      </x:c>
      <x:c r="J110" s="25" t="n">
        <x:v>14</x:v>
      </x:c>
      <x:c r="K110" s="26" t="n">
        <x:v>325</x:v>
      </x:c>
      <x:c r="L110" s="26"/>
      <x:c r="M110" s="26"/>
      <x:c r="N110" s="26" t="n">
        <x:v>7</x:v>
      </x:c>
      <x:c r="O110" s="26"/>
      <x:c r="P110" s="26"/>
      <x:c r="Q110" s="26" t="n">
        <x:v>5</x:v>
      </x:c>
      <x:c r="R110" s="26"/>
      <x:c r="S110" s="26"/>
      <x:c r="T110" s="26"/>
      <x:c r="U110" s="26"/>
      <x:c r="V110" s="26" t="n">
        <x:v>337</x:v>
      </x:c>
    </x:row>
    <x:row r="111">
      <x:c r="A111" s="22" t="str">
        <x:v>July</x:v>
      </x:c>
      <x:c r="B111" s="23" t="n">
        <x:v>44389</x:v>
      </x:c>
      <x:c r="C111" s="23" t="n">
        <x:v>44392</x:v>
      </x:c>
      <x:c r="D111" s="22" t="str">
        <x:v>STEM Camp</x:v>
      </x:c>
      <x:c r="E111" s="22" t="str">
        <x:v>Day Camp</x:v>
      </x:c>
      <x:c r="F111" s="22" t="str"/>
      <x:c r="G111" s="22" t="str"/>
      <x:c r="H111" s="24" t="n">
        <x:v>2</x:v>
      </x:c>
      <x:c r="I111" s="24" t="n">
        <x:v>32</x:v>
      </x:c>
      <x:c r="J111" s="25" t="n">
        <x:v>32</x:v>
      </x:c>
      <x:c r="K111" s="26"/>
      <x:c r="L111" s="26"/>
      <x:c r="M111" s="26"/>
      <x:c r="N111" s="26" t="n">
        <x:v>10</x:v>
      </x:c>
      <x:c r="O111" s="26"/>
      <x:c r="P111" s="26"/>
      <x:c r="Q111" s="26"/>
      <x:c r="R111" s="26"/>
      <x:c r="S111" s="26"/>
      <x:c r="T111" s="26"/>
      <x:c r="U111" s="26"/>
      <x:c r="V111" s="26" t="n">
        <x:v>10</x:v>
      </x:c>
    </x:row>
    <x:row r="112">
      <x:c r="A112" s="22" t="str">
        <x:v>July</x:v>
      </x:c>
      <x:c r="B112" s="23" t="n">
        <x:v>44392</x:v>
      </x:c>
      <x:c r="C112" s="23" t="n">
        <x:v>44392</x:v>
      </x:c>
      <x:c r="D112" s="22" t="str">
        <x:v>TAG Concert</x:v>
      </x:c>
      <x:c r="E112" s="22" t="str">
        <x:v>Family Days and Military Appreciation Events</x:v>
      </x:c>
      <x:c r="F112" s="22" t="str"/>
      <x:c r="G112" s="22" t="str"/>
      <x:c r="H112" s="24" t="n">
        <x:v>2</x:v>
      </x:c>
      <x:c r="I112" s="24" t="n">
        <x:v>3</x:v>
      </x:c>
      <x:c r="J112" s="25" t="n">
        <x:v>3</x:v>
      </x:c>
      <x:c r="K112" s="26"/>
      <x:c r="L112" s="26"/>
      <x:c r="M112" s="26"/>
      <x:c r="N112" s="26" t="n">
        <x:v>36</x:v>
      </x:c>
      <x:c r="O112" s="26"/>
      <x:c r="P112" s="26"/>
      <x:c r="Q112" s="26"/>
      <x:c r="R112" s="26"/>
      <x:c r="S112" s="26"/>
      <x:c r="T112" s="26"/>
      <x:c r="U112" s="26"/>
      <x:c r="V112" s="26" t="n">
        <x:v>36</x:v>
      </x:c>
    </x:row>
    <x:row r="113">
      <x:c r="A113" s="22" t="str">
        <x:v>July</x:v>
      </x:c>
      <x:c r="B113" s="23" t="n">
        <x:v>44394</x:v>
      </x:c>
      <x:c r="C113" s="23" t="n">
        <x:v>44395</x:v>
      </x:c>
      <x:c r="D113" s="22" t="str">
        <x:v>YR Post C/1-113 CAV</x:v>
      </x:c>
      <x:c r="E113" s="22" t="str">
        <x:v>Yellow Ribbon Briefing and Programming</x:v>
      </x:c>
      <x:c r="F113" s="22" t="str"/>
      <x:c r="G113" s="22" t="str"/>
      <x:c r="H113" s="24"/>
      <x:c r="I113" s="24"/>
      <x:c r="J113" s="25"/>
      <x:c r="K113" s="26" t="n">
        <x:v>109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 t="n">
        <x:v>109</x:v>
      </x:c>
    </x:row>
    <x:row r="114">
      <x:c r="A114" s="22" t="str">
        <x:v>July</x:v>
      </x:c>
      <x:c r="B114" s="23" t="n">
        <x:v>44394</x:v>
      </x:c>
      <x:c r="C114" s="23" t="n">
        <x:v>44395</x:v>
      </x:c>
      <x:c r="D114" s="22" t="str">
        <x:v>1-113 IN Post-Deployment YR -DSM</x:v>
      </x:c>
      <x:c r="E114" s="22" t="str">
        <x:v>Yellow Ribbon Briefing and Programming</x:v>
      </x:c>
      <x:c r="F114" s="22" t="str"/>
      <x:c r="G114" s="22" t="str"/>
      <x:c r="H114" s="24"/>
      <x:c r="I114" s="24"/>
      <x:c r="J114" s="25"/>
      <x:c r="K114" s="26" t="n">
        <x:v>133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 t="n">
        <x:v>133</x:v>
      </x:c>
    </x:row>
    <x:row r="115">
      <x:c r="A115" s="22" t="str">
        <x:v>September</x:v>
      </x:c>
      <x:c r="B115" s="23" t="n">
        <x:v>44451</x:v>
      </x:c>
      <x:c r="C115" s="23" t="n">
        <x:v>44451</x:v>
      </x:c>
      <x:c r="D115" s="22" t="str">
        <x:v>MFE: Skateland</x:v>
      </x:c>
      <x:c r="E115" s="22" t="str">
        <x:v>Family Days and Military Appreciation Events</x:v>
      </x:c>
      <x:c r="F115" s="22" t="str"/>
      <x:c r="G115" s="22" t="str"/>
      <x:c r="H115" s="24" t="n">
        <x:v>1</x:v>
      </x:c>
      <x:c r="I115" s="24" t="n">
        <x:v>2</x:v>
      </x:c>
      <x:c r="J115" s="25" t="n">
        <x:v>2</x:v>
      </x:c>
      <x:c r="K115" s="26" t="n">
        <x:v>28</x:v>
      </x:c>
      <x:c r="L115" s="26"/>
      <x:c r="M115" s="26"/>
      <x:c r="N115" s="26" t="n">
        <x:v>42</x:v>
      </x:c>
      <x:c r="O115" s="26"/>
      <x:c r="P115" s="26"/>
      <x:c r="Q115" s="26" t="n">
        <x:v>22</x:v>
      </x:c>
      <x:c r="R115" s="26"/>
      <x:c r="S115" s="26"/>
      <x:c r="T115" s="26"/>
      <x:c r="U115" s="26"/>
      <x:c r="V115" s="26" t="n">
        <x:v>92</x:v>
      </x:c>
    </x:row>
    <x:row r="116">
      <x:c r="A116" s="22" t="str">
        <x:v>September</x:v>
      </x:c>
      <x:c r="B116" s="23" t="n">
        <x:v>44451</x:v>
      </x:c>
      <x:c r="C116" s="23" t="n">
        <x:v>44451</x:v>
      </x:c>
      <x:c r="D116" s="22" t="str">
        <x:v>STP Meeting</x:v>
      </x:c>
      <x:c r="E116" s="22" t="str">
        <x:v>Teen Council Meeting or Training</x:v>
      </x:c>
      <x:c r="F116" s="22" t="str"/>
      <x:c r="G116" s="22" t="str"/>
      <x:c r="H116" s="24"/>
      <x:c r="I116" s="24"/>
      <x:c r="J116" s="25" t="n">
        <x:v>1</x:v>
      </x:c>
      <x:c r="K116" s="26" t="n">
        <x:v>2</x:v>
      </x:c>
      <x:c r="L116" s="26"/>
      <x:c r="M116" s="26"/>
      <x:c r="N116" s="26"/>
      <x:c r="O116" s="26"/>
      <x:c r="P116" s="26"/>
      <x:c r="Q116" s="26" t="n">
        <x:v>1</x:v>
      </x:c>
      <x:c r="R116" s="26"/>
      <x:c r="S116" s="26"/>
      <x:c r="T116" s="26"/>
      <x:c r="U116" s="26"/>
      <x:c r="V116" s="26" t="n">
        <x:v>3</x:v>
      </x:c>
    </x:row>
    <x:row r="117">
      <x:c r="A117" s="22" t="str">
        <x:v>September</x:v>
      </x:c>
      <x:c r="B117" s="23" t="n">
        <x:v>44457</x:v>
      </x:c>
      <x:c r="C117" s="23" t="n">
        <x:v>44457</x:v>
      </x:c>
      <x:c r="D117" s="22" t="str">
        <x:v>Family Day Event</x:v>
      </x:c>
      <x:c r="E117" s="22" t="str">
        <x:v>Family Days and Military Appreciation Events</x:v>
      </x:c>
      <x:c r="F117" s="22" t="str"/>
      <x:c r="G117" s="22" t="str"/>
      <x:c r="H117" s="24" t="n">
        <x:v>2</x:v>
      </x:c>
      <x:c r="I117" s="24" t="n">
        <x:v>5</x:v>
      </x:c>
      <x:c r="J117" s="25" t="n">
        <x:v>3.5</x:v>
      </x:c>
      <x:c r="K117" s="26" t="n">
        <x:v>5</x:v>
      </x:c>
      <x:c r="L117" s="26" t="n">
        <x:v>154</x:v>
      </x:c>
      <x:c r="M117" s="26"/>
      <x:c r="N117" s="26" t="n">
        <x:v>4</x:v>
      </x:c>
      <x:c r="O117" s="26" t="n">
        <x:v>45</x:v>
      </x:c>
      <x:c r="P117" s="26"/>
      <x:c r="Q117" s="26" t="n">
        <x:v>4</x:v>
      </x:c>
      <x:c r="R117" s="26" t="n">
        <x:v>11</x:v>
      </x:c>
      <x:c r="S117" s="26"/>
      <x:c r="T117" s="26"/>
      <x:c r="U117" s="26" t="n">
        <x:v>18</x:v>
      </x:c>
      <x:c r="V117" s="26" t="n">
        <x:v>241</x:v>
      </x:c>
    </x:row>
    <x:row r="118">
      <x:c r="A118" s="22" t="str">
        <x:v>September</x:v>
      </x:c>
      <x:c r="B118" s="23" t="n">
        <x:v>44467</x:v>
      </x:c>
      <x:c r="C118" s="23" t="n">
        <x:v>44467</x:v>
      </x:c>
      <x:c r="D118" s="22" t="str">
        <x:v>Yellow Ribbon</x:v>
      </x:c>
      <x:c r="E118" s="22" t="str">
        <x:v>Yellow Ribbon Briefing and Programming</x:v>
      </x:c>
      <x:c r="F118" s="22" t="str"/>
      <x:c r="G118" s="22" t="str"/>
      <x:c r="H118" s="24"/>
      <x:c r="I118" s="24"/>
      <x:c r="J118" s="25" t="n">
        <x:v>8</x:v>
      </x:c>
      <x:c r="K118" s="26" t="n">
        <x:v>186</x:v>
      </x:c>
      <x:c r="L118" s="26"/>
      <x:c r="M118" s="26"/>
      <x:c r="N118" s="26" t="n">
        <x:v>12</x:v>
      </x:c>
      <x:c r="O118" s="26"/>
      <x:c r="P118" s="26"/>
      <x:c r="Q118" s="26"/>
      <x:c r="R118" s="26"/>
      <x:c r="S118" s="26"/>
      <x:c r="T118" s="26"/>
      <x:c r="U118" s="26" t="n">
        <x:v>5</x:v>
      </x:c>
      <x:c r="V118" s="26" t="n">
        <x:v>203</x:v>
      </x:c>
    </x:row>
    <x:row r="119">
      <x:c r="A119" s="22" t="str">
        <x:v>October</x:v>
      </x:c>
      <x:c r="B119" s="23" t="n">
        <x:v>44485</x:v>
      </x:c>
      <x:c r="C119" s="23" t="n">
        <x:v>44485</x:v>
      </x:c>
      <x:c r="D119" s="22" t="str">
        <x:v>Waterloo Fall Family Festival</x:v>
      </x:c>
      <x:c r="E119" s="22" t="str">
        <x:v>Community Outreach, Briefings and Events</x:v>
      </x:c>
      <x:c r="F119" s="22" t="str"/>
      <x:c r="G119" s="22" t="str"/>
      <x:c r="H119" s="24"/>
      <x:c r="I119" s="24" t="n">
        <x:v>2</x:v>
      </x:c>
      <x:c r="J119" s="25" t="n">
        <x:v>2</x:v>
      </x:c>
      <x:c r="K119" s="26" t="n">
        <x:v>62</x:v>
      </x:c>
      <x:c r="L119" s="26"/>
      <x:c r="M119" s="26"/>
      <x:c r="N119" s="26" t="n">
        <x:v>32</x:v>
      </x:c>
      <x:c r="O119" s="26"/>
      <x:c r="P119" s="26"/>
      <x:c r="Q119" s="26" t="n">
        <x:v>12</x:v>
      </x:c>
      <x:c r="R119" s="26"/>
      <x:c r="S119" s="26"/>
      <x:c r="T119" s="26"/>
      <x:c r="U119" s="26" t="n">
        <x:v>36</x:v>
      </x:c>
      <x:c r="V119" s="26" t="n">
        <x:v>142</x:v>
      </x:c>
    </x:row>
    <x:row r="120">
      <x:c r="A120" s="22" t="str">
        <x:v>October</x:v>
      </x:c>
      <x:c r="B120" s="23" t="n">
        <x:v>44485</x:v>
      </x:c>
      <x:c r="C120" s="23" t="n">
        <x:v>44485</x:v>
      </x:c>
      <x:c r="D120" s="22" t="str">
        <x:v>Council Bluffs Fall Family Festival</x:v>
      </x:c>
      <x:c r="E120" s="22" t="str">
        <x:v>Community Outreach, Briefings and Events</x:v>
      </x:c>
      <x:c r="F120" s="22" t="str"/>
      <x:c r="G120" s="22" t="str"/>
      <x:c r="H120" s="24" t="n">
        <x:v>1</x:v>
      </x:c>
      <x:c r="I120" s="24" t="n">
        <x:v>3</x:v>
      </x:c>
      <x:c r="J120" s="25" t="n">
        <x:v>3</x:v>
      </x:c>
      <x:c r="K120" s="26" t="n">
        <x:v>152</x:v>
      </x:c>
      <x:c r="L120" s="26"/>
      <x:c r="M120" s="26"/>
      <x:c r="N120" s="26" t="n">
        <x:v>73</x:v>
      </x:c>
      <x:c r="O120" s="26"/>
      <x:c r="P120" s="26"/>
      <x:c r="Q120" s="26" t="n">
        <x:v>22</x:v>
      </x:c>
      <x:c r="R120" s="26"/>
      <x:c r="S120" s="26"/>
      <x:c r="T120" s="26"/>
      <x:c r="U120" s="26" t="n">
        <x:v>48</x:v>
      </x:c>
      <x:c r="V120" s="26" t="n">
        <x:v>295</x:v>
      </x:c>
    </x:row>
    <x:row r="121">
      <x:c r="A121" s="22" t="str">
        <x:v>October</x:v>
      </x:c>
      <x:c r="B121" s="23" t="n">
        <x:v>44486</x:v>
      </x:c>
      <x:c r="C121" s="23" t="n">
        <x:v>44486</x:v>
      </x:c>
      <x:c r="D121" s="22" t="str">
        <x:v>Sioux City Fall Family Festival</x:v>
      </x:c>
      <x:c r="E121" s="22" t="str">
        <x:v>Community Outreach, Briefings and Events</x:v>
      </x:c>
      <x:c r="F121" s="22" t="str"/>
      <x:c r="G121" s="22" t="str"/>
      <x:c r="H121" s="24" t="n">
        <x:v>1</x:v>
      </x:c>
      <x:c r="I121" s="24" t="n">
        <x:v>2</x:v>
      </x:c>
      <x:c r="J121" s="25" t="n">
        <x:v>2</x:v>
      </x:c>
      <x:c r="K121" s="26" t="n">
        <x:v>212</x:v>
      </x:c>
      <x:c r="L121" s="26"/>
      <x:c r="M121" s="26"/>
      <x:c r="N121" s="26" t="n">
        <x:v>54</x:v>
      </x:c>
      <x:c r="O121" s="26"/>
      <x:c r="P121" s="26"/>
      <x:c r="Q121" s="26" t="n">
        <x:v>36</x:v>
      </x:c>
      <x:c r="R121" s="26"/>
      <x:c r="S121" s="26"/>
      <x:c r="T121" s="26"/>
      <x:c r="U121" s="26" t="n">
        <x:v>52</x:v>
      </x:c>
      <x:c r="V121" s="26" t="n">
        <x:v>354</x:v>
      </x:c>
    </x:row>
    <x:row r="122">
      <x:c r="A122" s="22" t="str">
        <x:v>October</x:v>
      </x:c>
      <x:c r="B122" s="23" t="n">
        <x:v>44492</x:v>
      </x:c>
      <x:c r="C122" s="23" t="n">
        <x:v>44493</x:v>
      </x:c>
      <x:c r="D122" s="22" t="str">
        <x:v>State Teen Panel</x:v>
      </x:c>
      <x:c r="E122" s="22" t="str">
        <x:v>Teen Council Meeting or Training</x:v>
      </x:c>
      <x:c r="F122" s="22" t="str"/>
      <x:c r="G122" s="22" t="str"/>
      <x:c r="H122" s="24" t="n">
        <x:v>2</x:v>
      </x:c>
      <x:c r="I122" s="24" t="n">
        <x:v>24</x:v>
      </x:c>
      <x:c r="J122" s="25" t="n">
        <x:v>24</x:v>
      </x:c>
      <x:c r="K122" s="26" t="n">
        <x:v>2</x:v>
      </x:c>
      <x:c r="L122" s="26"/>
      <x:c r="M122" s="26"/>
      <x:c r="N122" s="26"/>
      <x:c r="O122" s="26"/>
      <x:c r="P122" s="26"/>
      <x:c r="Q122" s="26" t="n">
        <x:v>8</x:v>
      </x:c>
      <x:c r="R122" s="26"/>
      <x:c r="S122" s="26"/>
      <x:c r="T122" s="26"/>
      <x:c r="U122" s="26"/>
      <x:c r="V122" s="26" t="n">
        <x:v>10</x:v>
      </x:c>
    </x:row>
    <x:row r="123">
      <x:c r="A123" s="22" t="str">
        <x:v>October</x:v>
      </x:c>
      <x:c r="B123" s="23" t="n">
        <x:v>44493</x:v>
      </x:c>
      <x:c r="C123" s="23" t="n">
        <x:v>44493</x:v>
      </x:c>
      <x:c r="D123" s="22" t="str">
        <x:v>Des Moines Fall Family Festival</x:v>
      </x:c>
      <x:c r="E123" s="22" t="str">
        <x:v>Partnered Event or Activity</x:v>
      </x:c>
      <x:c r="F123" s="22" t="str"/>
      <x:c r="G123" s="22" t="str"/>
      <x:c r="H123" s="24" t="n">
        <x:v>99</x:v>
      </x:c>
      <x:c r="I123" s="24" t="n">
        <x:v>3</x:v>
      </x:c>
      <x:c r="J123" s="25" t="n">
        <x:v>2</x:v>
      </x:c>
      <x:c r="K123" s="26" t="n">
        <x:v>109</x:v>
      </x:c>
      <x:c r="L123" s="26"/>
      <x:c r="M123" s="26"/>
      <x:c r="N123" s="26" t="n">
        <x:v>68</x:v>
      </x:c>
      <x:c r="O123" s="26"/>
      <x:c r="P123" s="26"/>
      <x:c r="Q123" s="26" t="n">
        <x:v>39</x:v>
      </x:c>
      <x:c r="R123" s="26"/>
      <x:c r="S123" s="26"/>
      <x:c r="T123" s="26"/>
      <x:c r="U123" s="26" t="n">
        <x:v>52</x:v>
      </x:c>
      <x:c r="V123" s="26" t="n">
        <x:v>268</x:v>
      </x:c>
    </x:row>
    <x:row r="124">
      <x:c r="A124" s="22" t="str">
        <x:v>November</x:v>
      </x:c>
      <x:c r="B124" s="23" t="n">
        <x:v>44506</x:v>
      </x:c>
      <x:c r="C124" s="23" t="n">
        <x:v>44507</x:v>
      </x:c>
      <x:c r="D124" s="22" t="str">
        <x:v>WFSB Weekly Huddle</x:v>
      </x:c>
      <x:c r="E124" s="22" t="str">
        <x:v>Yellow Ribbon Briefing and Programming</x:v>
      </x:c>
      <x:c r="F124" s="22" t="str"/>
      <x:c r="G124" s="22" t="str"/>
      <x:c r="H124" s="24"/>
      <x:c r="I124" s="24"/>
      <x:c r="J124" s="25"/>
      <x:c r="K124" s="26" t="n">
        <x:v>16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 t="n">
        <x:v>16</x:v>
      </x:c>
    </x:row>
    <x:row r="125">
      <x:c r="A125" s="22" t="str">
        <x:v>November</x:v>
      </x:c>
      <x:c r="B125" s="23" t="n">
        <x:v>44506</x:v>
      </x:c>
      <x:c r="C125" s="23" t="n">
        <x:v>44507</x:v>
      </x:c>
      <x:c r="D125" s="22" t="str">
        <x:v>Yellow Ribbon Post (Sioux City)</x:v>
      </x:c>
      <x:c r="E125" s="22" t="str">
        <x:v>Yellow Ribbon Briefing and Programming</x:v>
      </x:c>
      <x:c r="F125" s="22" t="str"/>
      <x:c r="G125" s="22" t="str"/>
      <x:c r="H125" s="24" t="n">
        <x:v>3</x:v>
      </x:c>
      <x:c r="I125" s="24" t="n">
        <x:v>14</x:v>
      </x:c>
      <x:c r="J125" s="25" t="n">
        <x:v>14</x:v>
      </x:c>
      <x:c r="K125" s="26" t="n">
        <x:v>280</x:v>
      </x:c>
      <x:c r="L125" s="26"/>
      <x:c r="M125" s="26"/>
      <x:c r="N125" s="26" t="n">
        <x:v>14</x:v>
      </x:c>
      <x:c r="O125" s="26"/>
      <x:c r="P125" s="26"/>
      <x:c r="Q125" s="26"/>
      <x:c r="R125" s="26"/>
      <x:c r="S125" s="26"/>
      <x:c r="T125" s="26"/>
      <x:c r="U125" s="26" t="n">
        <x:v>12</x:v>
      </x:c>
      <x:c r="V125" s="26" t="n">
        <x:v>306</x:v>
      </x:c>
    </x:row>
    <x:row r="126">
      <x:c r="A126" s="22" t="str">
        <x:v>November</x:v>
      </x:c>
      <x:c r="B126" s="23" t="n">
        <x:v>44506</x:v>
      </x:c>
      <x:c r="C126" s="23" t="n">
        <x:v>44507</x:v>
      </x:c>
      <x:c r="D126" s="22" t="str">
        <x:v>Yellow Ribbon Post (Boone)</x:v>
      </x:c>
      <x:c r="E126" s="22" t="str">
        <x:v>Yellow Ribbon Briefing and Programming</x:v>
      </x:c>
      <x:c r="F126" s="22" t="str"/>
      <x:c r="G126" s="22" t="str"/>
      <x:c r="H126" s="24" t="n">
        <x:v>1</x:v>
      </x:c>
      <x:c r="I126" s="24" t="n">
        <x:v>14</x:v>
      </x:c>
      <x:c r="J126" s="25" t="n">
        <x:v>14</x:v>
      </x:c>
      <x:c r="K126" s="26" t="n">
        <x:v>224</x:v>
      </x:c>
      <x:c r="L126" s="26"/>
      <x:c r="M126" s="26"/>
      <x:c r="N126" s="26" t="n">
        <x:v>17</x:v>
      </x:c>
      <x:c r="O126" s="26"/>
      <x:c r="P126" s="26"/>
      <x:c r="Q126" s="26"/>
      <x:c r="R126" s="26"/>
      <x:c r="S126" s="26"/>
      <x:c r="T126" s="26"/>
      <x:c r="U126" s="26" t="n">
        <x:v>13</x:v>
      </x:c>
      <x:c r="V126" s="26" t="n">
        <x:v>254</x:v>
      </x:c>
    </x:row>
    <x:row r="127">
      <x:c r="A127" s="22" t="str">
        <x:v>November</x:v>
      </x:c>
      <x:c r="B127" s="23" t="n">
        <x:v>44513</x:v>
      </x:c>
      <x:c r="C127" s="23" t="n">
        <x:v>44514</x:v>
      </x:c>
      <x:c r="D127" s="22" t="str">
        <x:v>Yellow Ribbon Post (Fort Dodge)</x:v>
      </x:c>
      <x:c r="E127" s="22" t="str">
        <x:v>Yellow Ribbon Briefing and Programming</x:v>
      </x:c>
      <x:c r="F127" s="22" t="str"/>
      <x:c r="G127" s="22" t="str"/>
      <x:c r="H127" s="24"/>
      <x:c r="I127" s="24"/>
      <x:c r="J127" s="25" t="n">
        <x:v>14</x:v>
      </x:c>
      <x:c r="K127" s="26" t="n">
        <x:v>200</x:v>
      </x:c>
      <x:c r="L127" s="26"/>
      <x:c r="M127" s="26"/>
      <x:c r="N127" s="26" t="n">
        <x:v>4</x:v>
      </x:c>
      <x:c r="O127" s="26"/>
      <x:c r="P127" s="26"/>
      <x:c r="Q127" s="26"/>
      <x:c r="R127" s="26"/>
      <x:c r="S127" s="26"/>
      <x:c r="T127" s="26"/>
      <x:c r="U127" s="26" t="n">
        <x:v>5</x:v>
      </x:c>
      <x:c r="V127" s="26" t="n">
        <x:v>209</x:v>
      </x:c>
    </x:row>
    <x:row r="128">
      <x:c r="A128" s="22" t="str">
        <x:v>December</x:v>
      </x:c>
      <x:c r="B128" s="23" t="n">
        <x:v>44534</x:v>
      </x:c>
      <x:c r="C128" s="23" t="n">
        <x:v>44534</x:v>
      </x:c>
      <x:c r="D128" s="22" t="str">
        <x:v>833rd Holiday Party</x:v>
      </x:c>
      <x:c r="E128" s="22" t="str">
        <x:v>Family Days and Military Appreciation Events</x:v>
      </x:c>
      <x:c r="F128" s="22" t="str"/>
      <x:c r="G128" s="22" t="str"/>
      <x:c r="H128" s="24" t="n">
        <x:v>1</x:v>
      </x:c>
      <x:c r="I128" s="24" t="n">
        <x:v>3</x:v>
      </x:c>
      <x:c r="J128" s="25" t="n">
        <x:v>3</x:v>
      </x:c>
      <x:c r="K128" s="26" t="n">
        <x:v>21</x:v>
      </x:c>
      <x:c r="L128" s="26"/>
      <x:c r="M128" s="26"/>
      <x:c r="N128" s="26" t="n">
        <x:v>13</x:v>
      </x:c>
      <x:c r="O128" s="26"/>
      <x:c r="P128" s="26"/>
      <x:c r="Q128" s="26" t="n">
        <x:v>3</x:v>
      </x:c>
      <x:c r="R128" s="26"/>
      <x:c r="S128" s="26"/>
      <x:c r="T128" s="26"/>
      <x:c r="U128" s="26" t="n">
        <x:v>3</x:v>
      </x:c>
      <x:c r="V128" s="26" t="n">
        <x:v>40</x:v>
      </x:c>
    </x:row>
    <x:row r="129">
      <x:c r="A129" s="22" t="str">
        <x:v>December</x:v>
      </x:c>
      <x:c r="B129" s="23" t="n">
        <x:v>44534</x:v>
      </x:c>
      <x:c r="C129" s="23" t="n">
        <x:v>44534</x:v>
      </x:c>
      <x:c r="D129" s="22" t="str">
        <x:v>HHC 133rd Holiday Event</x:v>
      </x:c>
      <x:c r="E129" s="22" t="str">
        <x:v>Family Days and Military Appreciation Events</x:v>
      </x:c>
      <x:c r="F129" s="22" t="str"/>
      <x:c r="G129" s="22" t="str"/>
      <x:c r="H129" s="24" t="n">
        <x:v>2</x:v>
      </x:c>
      <x:c r="I129" s="24" t="n">
        <x:v>3</x:v>
      </x:c>
      <x:c r="J129" s="25" t="n">
        <x:v>3</x:v>
      </x:c>
      <x:c r="K129" s="26" t="n">
        <x:v>275</x:v>
      </x:c>
      <x:c r="L129" s="26"/>
      <x:c r="M129" s="26"/>
      <x:c r="N129" s="26" t="n">
        <x:v>73</x:v>
      </x:c>
      <x:c r="O129" s="26"/>
      <x:c r="P129" s="26"/>
      <x:c r="Q129" s="26" t="n">
        <x:v>17</x:v>
      </x:c>
      <x:c r="R129" s="26"/>
      <x:c r="S129" s="26"/>
      <x:c r="T129" s="26"/>
      <x:c r="U129" s="26" t="n">
        <x:v>18</x:v>
      </x:c>
      <x:c r="V129" s="26" t="n">
        <x:v>383</x:v>
      </x:c>
    </x:row>
    <x:row r="130">
      <x:c r="A130" s="22" t="str">
        <x:v>December</x:v>
      </x:c>
      <x:c r="B130" s="23" t="n">
        <x:v>44541</x:v>
      </x:c>
      <x:c r="C130" s="23" t="n">
        <x:v>44541</x:v>
      </x:c>
      <x:c r="D130" s="22" t="str">
        <x:v>Cookies w/ Santa</x:v>
      </x:c>
      <x:c r="E130" s="22" t="str">
        <x:v>Partnered Event or Activity</x:v>
      </x:c>
      <x:c r="F130" s="22" t="str"/>
      <x:c r="G130" s="22" t="str"/>
      <x:c r="H130" s="24" t="n">
        <x:v>8</x:v>
      </x:c>
      <x:c r="I130" s="24" t="n">
        <x:v>3</x:v>
      </x:c>
      <x:c r="J130" s="25" t="n">
        <x:v>2</x:v>
      </x:c>
      <x:c r="K130" s="26" t="n">
        <x:v>64</x:v>
      </x:c>
      <x:c r="L130" s="26"/>
      <x:c r="M130" s="26"/>
      <x:c r="N130" s="26" t="n">
        <x:v>48</x:v>
      </x:c>
      <x:c r="O130" s="26"/>
      <x:c r="P130" s="26"/>
      <x:c r="Q130" s="26" t="n">
        <x:v>24</x:v>
      </x:c>
      <x:c r="R130" s="26"/>
      <x:c r="S130" s="26"/>
      <x:c r="T130" s="26"/>
      <x:c r="U130" s="26" t="n">
        <x:v>24</x:v>
      </x:c>
      <x:c r="V130" s="26" t="n">
        <x:v>160</x:v>
      </x:c>
    </x:row>
    <x:row r="131">
      <x:c r="A131" s="22" t="str">
        <x:v>January</x:v>
      </x:c>
      <x:c r="B131" s="23" t="n">
        <x:v>44591</x:v>
      </x:c>
      <x:c r="C131" s="23" t="n">
        <x:v>44591</x:v>
      </x:c>
      <x:c r="D131" s="22" t="str">
        <x:v>MFE: The Play Station</x:v>
      </x:c>
      <x:c r="E131" s="22" t="str">
        <x:v>Partnered Event or Activity</x:v>
      </x:c>
      <x:c r="F131" s="22" t="str"/>
      <x:c r="G131" s="22" t="str"/>
      <x:c r="H131" s="24" t="n">
        <x:v>1</x:v>
      </x:c>
      <x:c r="I131" s="24" t="n">
        <x:v>2</x:v>
      </x:c>
      <x:c r="J131" s="25" t="n">
        <x:v>2</x:v>
      </x:c>
      <x:c r="K131" s="26" t="n">
        <x:v>12</x:v>
      </x:c>
      <x:c r="L131" s="26"/>
      <x:c r="M131" s="26"/>
      <x:c r="N131" s="26" t="n">
        <x:v>18</x:v>
      </x:c>
      <x:c r="O131" s="26"/>
      <x:c r="P131" s="26"/>
      <x:c r="Q131" s="26" t="n">
        <x:v>7</x:v>
      </x:c>
      <x:c r="R131" s="26"/>
      <x:c r="S131" s="26"/>
      <x:c r="T131" s="26"/>
      <x:c r="U131" s="26"/>
      <x:c r="V131" s="26" t="n">
        <x:v>37</x:v>
      </x:c>
    </x:row>
    <x:row r="132">
      <x:c r="A132" s="22" t="str">
        <x:v>February</x:v>
      </x:c>
      <x:c r="B132" s="23" t="n">
        <x:v>44597</x:v>
      </x:c>
      <x:c r="C132" s="23" t="n">
        <x:v>44598</x:v>
      </x:c>
      <x:c r="D132" s="22" t="str">
        <x:v>Yellow Ribbon Post 734 RSG</x:v>
      </x:c>
      <x:c r="E132" s="22" t="str">
        <x:v>Yellow Ribbon Briefing and Programming</x:v>
      </x:c>
      <x:c r="F132" s="22" t="str"/>
      <x:c r="G132" s="22" t="str"/>
      <x:c r="H132" s="24" t="n">
        <x:v>2</x:v>
      </x:c>
      <x:c r="I132" s="24" t="n">
        <x:v>14</x:v>
      </x:c>
      <x:c r="J132" s="25" t="n">
        <x:v>14</x:v>
      </x:c>
      <x:c r="K132" s="26" t="n">
        <x:v>200</x:v>
      </x:c>
      <x:c r="L132" s="26"/>
      <x:c r="M132" s="26"/>
      <x:c r="N132" s="26" t="n">
        <x:v>10</x:v>
      </x:c>
      <x:c r="O132" s="26"/>
      <x:c r="P132" s="26"/>
      <x:c r="Q132" s="26" t="n">
        <x:v>4</x:v>
      </x:c>
      <x:c r="R132" s="26"/>
      <x:c r="S132" s="26"/>
      <x:c r="T132" s="26"/>
      <x:c r="U132" s="26" t="n">
        <x:v>8</x:v>
      </x:c>
      <x:c r="V132" s="26" t="n">
        <x:v>222</x:v>
      </x:c>
    </x:row>
    <x:row r="133">
      <x:c r="A133" s="22" t="str">
        <x:v>February</x:v>
      </x:c>
      <x:c r="B133" s="23" t="n">
        <x:v>44618</x:v>
      </x:c>
      <x:c r="C133" s="23" t="n">
        <x:v>44618</x:v>
      </x:c>
      <x:c r="D133" s="22" t="str">
        <x:v>Yellow Ribbon 3654 Post</x:v>
      </x:c>
      <x:c r="E133" s="22" t="str">
        <x:v>Yellow Ribbon Briefing and Programming</x:v>
      </x:c>
      <x:c r="F133" s="22" t="str"/>
      <x:c r="G133" s="22" t="str"/>
      <x:c r="H133" s="24"/>
      <x:c r="I133" s="24"/>
      <x:c r="J133" s="25"/>
      <x:c r="K133" s="26" t="n">
        <x:v>225</x:v>
      </x:c>
      <x:c r="L133" s="26"/>
      <x:c r="M133" s="26"/>
      <x:c r="N133" s="26" t="n">
        <x:v>2</x:v>
      </x:c>
      <x:c r="O133" s="26"/>
      <x:c r="P133" s="26"/>
      <x:c r="Q133" s="26" t="n">
        <x:v>3</x:v>
      </x:c>
      <x:c r="R133" s="26"/>
      <x:c r="S133" s="26"/>
      <x:c r="T133" s="26"/>
      <x:c r="U133" s="26" t="n">
        <x:v>18</x:v>
      </x:c>
      <x:c r="V133" s="26" t="n">
        <x:v>248</x:v>
      </x:c>
    </x:row>
    <x:row r="134">
      <x:c r="A134" s="22" t="str">
        <x:v>March</x:v>
      </x:c>
      <x:c r="B134" s="23" t="n">
        <x:v>44623</x:v>
      </x:c>
      <x:c r="C134" s="23" t="n">
        <x:v>44623</x:v>
      </x:c>
      <x:c r="D134" s="22" t="str">
        <x:v>Joining Community Services</x:v>
      </x:c>
      <x:c r="E134" s="22" t="str">
        <x:v>Community Outreach, Briefings and Events</x:v>
      </x:c>
      <x:c r="F134" s="22" t="str"/>
      <x:c r="G134" s="22" t="str"/>
      <x:c r="H134" s="24"/>
      <x:c r="I134" s="24"/>
      <x:c r="J134" s="25"/>
      <x:c r="K134" s="26" t="n">
        <x:v>65</x:v>
      </x:c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 t="n">
        <x:v>65</x:v>
      </x:c>
    </x:row>
    <x:row r="135">
      <x:c r="A135" s="22" t="str">
        <x:v>March</x:v>
      </x:c>
      <x:c r="B135" s="23" t="n">
        <x:v>44641</x:v>
      </x:c>
      <x:c r="C135" s="23" t="n">
        <x:v>44641</x:v>
      </x:c>
      <x:c r="D135" s="22" t="str">
        <x:v>WFSB Weekly Huddle</x:v>
      </x:c>
      <x:c r="E135" s="22" t="str">
        <x:v>Family Days and Military Appreciation Events</x:v>
      </x:c>
      <x:c r="F135" s="22" t="str"/>
      <x:c r="G135" s="22" t="str"/>
      <x:c r="H135" s="24"/>
      <x:c r="I135" s="24"/>
      <x:c r="J135" s="25"/>
      <x:c r="K135" s="26" t="n">
        <x:v>15</x:v>
      </x:c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 t="n">
        <x:v>15</x:v>
      </x:c>
    </x:row>
    <x:row r="136">
      <x:c r="A136" s="22" t="str"/>
      <x:c r="B136" s="23" t="n">
        <x:v>44646</x:v>
      </x:c>
      <x:c r="C136" s="23" t="n">
        <x:v>44646</x:v>
      </x:c>
      <x:c r="D136" s="22" t="str">
        <x:v>Council Bluffs Easter Event</x:v>
      </x:c>
      <x:c r="E136" s="22" t="str">
        <x:v>Family Days and Military Appreciation Events</x:v>
      </x:c>
      <x:c r="F136" s="22" t="str"/>
      <x:c r="G136" s="22" t="str"/>
      <x:c r="H136" s="24" t="n">
        <x:v>1</x:v>
      </x:c>
      <x:c r="I136" s="24" t="n">
        <x:v>3</x:v>
      </x:c>
      <x:c r="J136" s="25" t="n">
        <x:v>3</x:v>
      </x:c>
      <x:c r="K136" s="26" t="n">
        <x:v>52</x:v>
      </x:c>
      <x:c r="L136" s="26"/>
      <x:c r="M136" s="26"/>
      <x:c r="N136" s="26" t="n">
        <x:v>32</x:v>
      </x:c>
      <x:c r="O136" s="26"/>
      <x:c r="P136" s="26"/>
      <x:c r="Q136" s="26" t="n">
        <x:v>8</x:v>
      </x:c>
      <x:c r="R136" s="26"/>
      <x:c r="S136" s="26"/>
      <x:c r="T136" s="26"/>
      <x:c r="U136" s="26" t="n">
        <x:v>8</x:v>
      </x:c>
      <x:c r="V136" s="26" t="n">
        <x:v>100</x:v>
      </x:c>
    </x:row>
    <x:row r="137">
      <x:c r="A137" s="22" t="str">
        <x:v>March</x:v>
      </x:c>
      <x:c r="B137" s="23" t="n">
        <x:v>44646</x:v>
      </x:c>
      <x:c r="C137" s="23" t="n">
        <x:v>44646</x:v>
      </x:c>
      <x:c r="D137" s="22" t="str">
        <x:v>Council Bluffs Family Day</x:v>
      </x:c>
      <x:c r="E137" s="22" t="str">
        <x:v>Family Days and Military Appreciation Events</x:v>
      </x:c>
      <x:c r="F137" s="22" t="str"/>
      <x:c r="G137" s="22" t="str"/>
      <x:c r="H137" s="24" t="n">
        <x:v>2</x:v>
      </x:c>
      <x:c r="I137" s="24" t="n">
        <x:v>3</x:v>
      </x:c>
      <x:c r="J137" s="25" t="n">
        <x:v>3</x:v>
      </x:c>
      <x:c r="K137" s="26" t="n">
        <x:v>52</x:v>
      </x:c>
      <x:c r="L137" s="26"/>
      <x:c r="M137" s="26"/>
      <x:c r="N137" s="26" t="n">
        <x:v>32</x:v>
      </x:c>
      <x:c r="O137" s="26"/>
      <x:c r="P137" s="26"/>
      <x:c r="Q137" s="26" t="n">
        <x:v>7</x:v>
      </x:c>
      <x:c r="R137" s="26"/>
      <x:c r="S137" s="26"/>
      <x:c r="T137" s="26"/>
      <x:c r="U137" s="26" t="n">
        <x:v>9</x:v>
      </x:c>
      <x:c r="V137" s="26" t="n">
        <x:v>100</x:v>
      </x:c>
    </x:row>
    <x:row r="138">
      <x:c r="A138" s="22" t="str">
        <x:v>March</x:v>
      </x:c>
      <x:c r="B138" s="23" t="n">
        <x:v>44651</x:v>
      </x:c>
      <x:c r="C138" s="23" t="n">
        <x:v>44651</x:v>
      </x:c>
      <x:c r="D138" s="22" t="str">
        <x:v>Volunteer Training</x:v>
      </x:c>
      <x:c r="E138" s="22" t="str">
        <x:v>Volunteer Training</x:v>
      </x:c>
      <x:c r="F138" s="22" t="str"/>
      <x:c r="G138" s="22" t="str"/>
      <x:c r="H138" s="24" t="n">
        <x:v>1</x:v>
      </x:c>
      <x:c r="I138" s="24" t="n">
        <x:v>2</x:v>
      </x:c>
      <x:c r="J138" s="25"/>
      <x:c r="K138" s="26" t="n">
        <x:v>1</x:v>
      </x:c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 t="n">
        <x:v>1</x:v>
      </x:c>
    </x:row>
    <x:row r="139">
      <x:c r="A139" s="22" t="str">
        <x:v>April</x:v>
      </x:c>
      <x:c r="B139" s="23" t="n">
        <x:v>44652</x:v>
      </x:c>
      <x:c r="C139" s="23" t="n">
        <x:v>44652</x:v>
      </x:c>
      <x:c r="D139" s="22" t="str">
        <x:v>Volunteer Staff Training</x:v>
      </x:c>
      <x:c r="E139" s="22" t="str">
        <x:v>Volunteer Training</x:v>
      </x:c>
      <x:c r="F139" s="22" t="str"/>
      <x:c r="G139" s="22" t="str"/>
      <x:c r="H139" s="24" t="n">
        <x:v>1</x:v>
      </x:c>
      <x:c r="I139" s="24" t="n">
        <x:v>2</x:v>
      </x:c>
      <x:c r="J139" s="25" t="n">
        <x:v>2</x:v>
      </x:c>
      <x:c r="K139" s="26" t="n">
        <x:v>1</x:v>
      </x:c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 t="n">
        <x:v>1</x:v>
      </x:c>
    </x:row>
    <x:row r="140">
      <x:c r="A140" s="22" t="str">
        <x:v>April</x:v>
      </x:c>
      <x:c r="B140" s="23" t="n">
        <x:v>44656</x:v>
      </x:c>
      <x:c r="C140" s="23" t="n">
        <x:v>44656</x:v>
      </x:c>
      <x:c r="D140" s="22" t="str">
        <x:v>Proclamation Signing</x:v>
      </x:c>
      <x:c r="E140" s="22" t="str">
        <x:v>MOMC</x:v>
      </x:c>
      <x:c r="F140" s="22" t="str"/>
      <x:c r="G140" s="22" t="str"/>
      <x:c r="H140" s="24" t="n">
        <x:v>1</x:v>
      </x:c>
      <x:c r="I140" s="24" t="n">
        <x:v>2</x:v>
      </x:c>
      <x:c r="J140" s="25" t="n">
        <x:v>2</x:v>
      </x:c>
      <x:c r="K140" s="26" t="n">
        <x:v>10</x:v>
      </x:c>
      <x:c r="L140" s="26"/>
      <x:c r="M140" s="26"/>
      <x:c r="N140" s="26" t="n">
        <x:v>10</x:v>
      </x:c>
      <x:c r="O140" s="26"/>
      <x:c r="P140" s="26"/>
      <x:c r="Q140" s="26" t="n">
        <x:v>1</x:v>
      </x:c>
      <x:c r="R140" s="26"/>
      <x:c r="S140" s="26"/>
      <x:c r="T140" s="26" t="n">
        <x:v>3</x:v>
      </x:c>
      <x:c r="U140" s="26"/>
      <x:c r="V140" s="26" t="n">
        <x:v>24</x:v>
      </x:c>
    </x:row>
    <x:row r="141">
      <x:c r="A141" s="22" t="str">
        <x:v>April</x:v>
      </x:c>
      <x:c r="B141" s="23" t="n">
        <x:v>44661</x:v>
      </x:c>
      <x:c r="C141" s="23" t="n">
        <x:v>44661</x:v>
      </x:c>
      <x:c r="D141" s="22" t="str">
        <x:v>MFE: Sioux City</x:v>
      </x:c>
      <x:c r="E141" s="22" t="str">
        <x:v>MOMC</x:v>
      </x:c>
      <x:c r="F141" s="22" t="str"/>
      <x:c r="G141" s="22" t="str"/>
      <x:c r="H141" s="24" t="n">
        <x:v>2</x:v>
      </x:c>
      <x:c r="I141" s="24" t="n">
        <x:v>3</x:v>
      </x:c>
      <x:c r="J141" s="25" t="n">
        <x:v>3</x:v>
      </x:c>
      <x:c r="K141" s="26" t="n">
        <x:v>32</x:v>
      </x:c>
      <x:c r="L141" s="26"/>
      <x:c r="M141" s="26"/>
      <x:c r="N141" s="26" t="n">
        <x:v>44</x:v>
      </x:c>
      <x:c r="O141" s="26"/>
      <x:c r="P141" s="26"/>
      <x:c r="Q141" s="26" t="n">
        <x:v>18</x:v>
      </x:c>
      <x:c r="R141" s="26"/>
      <x:c r="S141" s="26"/>
      <x:c r="T141" s="26"/>
      <x:c r="U141" s="26" t="n">
        <x:v>15</x:v>
      </x:c>
      <x:c r="V141" s="26" t="n">
        <x:v>109</x:v>
      </x:c>
    </x:row>
    <x:row r="142">
      <x:c r="A142" s="22" t="str">
        <x:v>April</x:v>
      </x:c>
      <x:c r="B142" s="23" t="n">
        <x:v>44665</x:v>
      </x:c>
      <x:c r="C142" s="23" t="n">
        <x:v>44665</x:v>
      </x:c>
      <x:c r="D142" s="22" t="str">
        <x:v>MOMC School Outreach</x:v>
      </x:c>
      <x:c r="E142" s="22" t="str">
        <x:v>Education Outreach and School Support Groups</x:v>
      </x:c>
      <x:c r="F142" s="22" t="str"/>
      <x:c r="G142" s="22" t="str"/>
      <x:c r="H142" s="24" t="n">
        <x:v>1</x:v>
      </x:c>
      <x:c r="I142" s="24" t="n">
        <x:v>2</x:v>
      </x:c>
      <x:c r="J142" s="25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 t="n">
        <x:v>278</x:v>
      </x:c>
      <x:c r="U142" s="26"/>
      <x:c r="V142" s="26" t="n">
        <x:v>278</x:v>
      </x:c>
    </x:row>
    <x:row r="143">
      <x:c r="A143" s="22" t="str">
        <x:v>April</x:v>
      </x:c>
      <x:c r="B143" s="23" t="n">
        <x:v>44670</x:v>
      </x:c>
      <x:c r="C143" s="23" t="n">
        <x:v>44670</x:v>
      </x:c>
      <x:c r="D143" s="22" t="str">
        <x:v>Volunteer Training</x:v>
      </x:c>
      <x:c r="E143" s="22" t="str">
        <x:v>Volunteer Training</x:v>
      </x:c>
      <x:c r="F143" s="22" t="str"/>
      <x:c r="G143" s="22" t="str"/>
      <x:c r="H143" s="24"/>
      <x:c r="I143" s="24" t="n">
        <x:v>3</x:v>
      </x:c>
      <x:c r="J143" s="25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 t="n">
        <x:v>3</x:v>
      </x:c>
      <x:c r="U143" s="26"/>
      <x:c r="V143" s="26" t="n">
        <x:v>3</x:v>
      </x:c>
    </x:row>
    <x:row r="144">
      <x:c r="A144" s="22" t="str">
        <x:v>April</x:v>
      </x:c>
      <x:c r="B144" s="23" t="n">
        <x:v>44680</x:v>
      </x:c>
      <x:c r="C144" s="23" t="n">
        <x:v>44682</x:v>
      </x:c>
      <x:c r="D144" s="22" t="str">
        <x:v>State Teen Panel</x:v>
      </x:c>
      <x:c r="E144" s="22" t="str">
        <x:v>Teen Council Meeting or Training</x:v>
      </x:c>
      <x:c r="F144" s="22" t="str"/>
      <x:c r="G144" s="22" t="str"/>
      <x:c r="H144" s="24" t="n">
        <x:v>2</x:v>
      </x:c>
      <x:c r="I144" s="24" t="n">
        <x:v>24</x:v>
      </x:c>
      <x:c r="J144" s="25" t="n">
        <x:v>24</x:v>
      </x:c>
      <x:c r="K144" s="26"/>
      <x:c r="L144" s="26"/>
      <x:c r="M144" s="26"/>
      <x:c r="N144" s="26"/>
      <x:c r="O144" s="26"/>
      <x:c r="P144" s="26"/>
      <x:c r="Q144" s="26" t="n">
        <x:v>7</x:v>
      </x:c>
      <x:c r="R144" s="26"/>
      <x:c r="S144" s="26"/>
      <x:c r="T144" s="26"/>
      <x:c r="U144" s="26"/>
      <x:c r="V144" s="26" t="n">
        <x:v>7</x:v>
      </x:c>
    </x:row>
    <x:row r="145">
      <x:c r="A145" s="22" t="str">
        <x:v>April</x:v>
      </x:c>
      <x:c r="B145" s="23" t="n">
        <x:v>44681</x:v>
      </x:c>
      <x:c r="C145" s="23" t="n">
        <x:v>44681</x:v>
      </x:c>
      <x:c r="D145" s="22" t="str">
        <x:v>MOMC Classroom Events</x:v>
      </x:c>
      <x:c r="E145" s="22" t="str">
        <x:v>MOMC</x:v>
      </x:c>
      <x:c r="F145" s="22" t="str"/>
      <x:c r="G145" s="22" t="str"/>
      <x:c r="H145" s="24" t="n">
        <x:v>5</x:v>
      </x:c>
      <x:c r="I145" s="24" t="n">
        <x:v>5</x:v>
      </x:c>
      <x:c r="J145" s="25"/>
      <x:c r="K145" s="26" t="n">
        <x:v>90</x:v>
      </x:c>
      <x:c r="L145" s="26"/>
      <x:c r="M145" s="26"/>
      <x:c r="N145" s="26" t="n">
        <x:v>23</x:v>
      </x:c>
      <x:c r="O145" s="26"/>
      <x:c r="P145" s="26"/>
      <x:c r="Q145" s="26" t="n">
        <x:v>5</x:v>
      </x:c>
      <x:c r="R145" s="26"/>
      <x:c r="S145" s="26"/>
      <x:c r="T145" s="26"/>
      <x:c r="U145" s="26" t="n">
        <x:v>5</x:v>
      </x:c>
      <x:c r="V145" s="26" t="n">
        <x:v>123</x:v>
      </x:c>
    </x:row>
    <x:row r="146">
      <x:c r="A146" s="22" t="str">
        <x:v>April</x:v>
      </x:c>
      <x:c r="B146" s="23" t="n">
        <x:v>44681</x:v>
      </x:c>
      <x:c r="C146" s="23" t="n">
        <x:v>44681</x:v>
      </x:c>
      <x:c r="D146" s="22" t="str">
        <x:v>Volunteer Training</x:v>
      </x:c>
      <x:c r="E146" s="22" t="str">
        <x:v>Volunteer Training</x:v>
      </x:c>
      <x:c r="F146" s="22" t="str"/>
      <x:c r="G146" s="22" t="str"/>
      <x:c r="H146" s="24" t="n">
        <x:v>12</x:v>
      </x:c>
      <x:c r="I146" s="24" t="n">
        <x:v>2</x:v>
      </x:c>
      <x:c r="J146" s="25" t="n">
        <x:v>2</x:v>
      </x:c>
      <x:c r="K146" s="26" t="n">
        <x:v>4</x:v>
      </x:c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 t="n">
        <x:v>4</x:v>
      </x:c>
    </x:row>
    <x:row r="147">
      <x:c r="A147" s="22" t="str">
        <x:v>April</x:v>
      </x:c>
      <x:c r="B147" s="23" t="n">
        <x:v>44681</x:v>
      </x:c>
      <x:c r="C147" s="23" t="n">
        <x:v>44681</x:v>
      </x:c>
      <x:c r="D147" s="22" t="str">
        <x:v>Military Family Ball</x:v>
      </x:c>
      <x:c r="E147" s="22" t="str">
        <x:v>MOMC</x:v>
      </x:c>
      <x:c r="F147" s="22" t="str"/>
      <x:c r="G147" s="22" t="str"/>
      <x:c r="H147" s="24" t="n">
        <x:v>16</x:v>
      </x:c>
      <x:c r="I147" s="24" t="n">
        <x:v>12</x:v>
      </x:c>
      <x:c r="J147" s="25" t="n">
        <x:v>3</x:v>
      </x:c>
      <x:c r="K147" s="26" t="n">
        <x:v>64</x:v>
      </x:c>
      <x:c r="L147" s="26"/>
      <x:c r="M147" s="26"/>
      <x:c r="N147" s="26" t="n">
        <x:v>26</x:v>
      </x:c>
      <x:c r="O147" s="26"/>
      <x:c r="P147" s="26"/>
      <x:c r="Q147" s="26" t="n">
        <x:v>22</x:v>
      </x:c>
      <x:c r="R147" s="26"/>
      <x:c r="S147" s="26"/>
      <x:c r="T147" s="26"/>
      <x:c r="U147" s="26" t="n">
        <x:v>35</x:v>
      </x:c>
      <x:c r="V147" s="26" t="n">
        <x:v>147</x:v>
      </x:c>
    </x:row>
    <x:row r="148">
      <x:c r="A148" s="22" t="str">
        <x:v>May</x:v>
      </x:c>
      <x:c r="B148" s="23" t="n">
        <x:v>44692</x:v>
      </x:c>
      <x:c r="C148" s="23" t="n">
        <x:v>44692</x:v>
      </x:c>
      <x:c r="D148" s="22" t="str">
        <x:v>Patching Ceremony</x:v>
      </x:c>
      <x:c r="E148" s="22" t="str">
        <x:v>Command/Unit/FRG Briefings</x:v>
      </x:c>
      <x:c r="F148" s="22" t="str"/>
      <x:c r="G148" s="22" t="str"/>
      <x:c r="H148" s="24"/>
      <x:c r="I148" s="24"/>
      <x:c r="J148" s="25"/>
      <x:c r="K148" s="26" t="n">
        <x:v>35</x:v>
      </x:c>
      <x:c r="L148" s="26"/>
      <x:c r="M148" s="26"/>
      <x:c r="N148" s="26" t="n">
        <x:v>6</x:v>
      </x:c>
      <x:c r="O148" s="26"/>
      <x:c r="P148" s="26"/>
      <x:c r="Q148" s="26"/>
      <x:c r="R148" s="26"/>
      <x:c r="S148" s="26"/>
      <x:c r="T148" s="26"/>
      <x:c r="U148" s="26" t="n">
        <x:v>2</x:v>
      </x:c>
      <x:c r="V148" s="26" t="n">
        <x:v>43</x:v>
      </x:c>
    </x:row>
    <x:row r="149">
      <x:c r="A149" s="22" t="str">
        <x:v>May</x:v>
      </x:c>
      <x:c r="B149" s="23" t="n">
        <x:v>44695</x:v>
      </x:c>
      <x:c r="C149" s="23" t="n">
        <x:v>44695</x:v>
      </x:c>
      <x:c r="D149" s="22" t="str">
        <x:v>YR 1-171AV Post - Davenport</x:v>
      </x:c>
      <x:c r="E149" s="22" t="str">
        <x:v>Yellow Ribbon Briefing and Programming</x:v>
      </x:c>
      <x:c r="F149" s="22" t="str"/>
      <x:c r="G149" s="22" t="str"/>
      <x:c r="H149" s="24"/>
      <x:c r="I149" s="24"/>
      <x:c r="J149" s="25"/>
      <x:c r="K149" s="26" t="n">
        <x:v>55</x:v>
      </x:c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 t="n">
        <x:v>55</x:v>
      </x:c>
    </x:row>
    <x:row r="150">
      <x:c r="A150" s="22" t="str">
        <x:v>May</x:v>
      </x:c>
      <x:c r="B150" s="23" t="n">
        <x:v>44702</x:v>
      </x:c>
      <x:c r="C150" s="23" t="n">
        <x:v>44702</x:v>
      </x:c>
      <x:c r="D150" s="22" t="str">
        <x:v>MFE Iowa City</x:v>
      </x:c>
      <x:c r="E150" s="22" t="str">
        <x:v>Day Camp</x:v>
      </x:c>
      <x:c r="F150" s="22" t="str"/>
      <x:c r="G150" s="22" t="str"/>
      <x:c r="H150" s="24" t="n">
        <x:v>1</x:v>
      </x:c>
      <x:c r="I150" s="24" t="n">
        <x:v>2</x:v>
      </x:c>
      <x:c r="J150" s="25" t="n">
        <x:v>2</x:v>
      </x:c>
      <x:c r="K150" s="26" t="n">
        <x:v>15</x:v>
      </x:c>
      <x:c r="L150" s="26"/>
      <x:c r="M150" s="26"/>
      <x:c r="N150" s="26" t="n">
        <x:v>31</x:v>
      </x:c>
      <x:c r="O150" s="26"/>
      <x:c r="P150" s="26"/>
      <x:c r="Q150" s="26" t="n">
        <x:v>14</x:v>
      </x:c>
      <x:c r="R150" s="26"/>
      <x:c r="S150" s="26"/>
      <x:c r="T150" s="26"/>
      <x:c r="U150" s="26"/>
      <x:c r="V150" s="26" t="n">
        <x:v>60</x:v>
      </x:c>
    </x:row>
    <x:row r="151">
      <x:c r="A151" s="22" t="str">
        <x:v>June</x:v>
      </x:c>
      <x:c r="B151" s="23" t="n">
        <x:v>44714</x:v>
      </x:c>
      <x:c r="C151" s="23" t="n">
        <x:v>44714</x:v>
      </x:c>
      <x:c r="D151" s="22" t="str">
        <x:v>Summer Concert Series</x:v>
      </x:c>
      <x:c r="E151" s="22" t="str">
        <x:v>Family Days and Military Appreciation Events</x:v>
      </x:c>
      <x:c r="F151" s="22" t="str"/>
      <x:c r="G151" s="22" t="str"/>
      <x:c r="H151" s="24" t="n">
        <x:v>1</x:v>
      </x:c>
      <x:c r="I151" s="24" t="n">
        <x:v>4</x:v>
      </x:c>
      <x:c r="J151" s="25" t="n">
        <x:v>3</x:v>
      </x:c>
      <x:c r="K151" s="26"/>
      <x:c r="L151" s="26"/>
      <x:c r="M151" s="26"/>
      <x:c r="N151" s="26" t="n">
        <x:v>30</x:v>
      </x:c>
      <x:c r="O151" s="26"/>
      <x:c r="P151" s="26"/>
      <x:c r="Q151" s="26" t="n">
        <x:v>10</x:v>
      </x:c>
      <x:c r="R151" s="26"/>
      <x:c r="S151" s="26"/>
      <x:c r="T151" s="26"/>
      <x:c r="U151" s="26"/>
      <x:c r="V151" s="26" t="n">
        <x:v>40</x:v>
      </x:c>
    </x:row>
    <x:row r="152">
      <x:c r="A152" s="22" t="str">
        <x:v>June</x:v>
      </x:c>
      <x:c r="B152" s="23" t="n">
        <x:v>44718</x:v>
      </x:c>
      <x:c r="C152" s="23" t="n">
        <x:v>44718</x:v>
      </x:c>
      <x:c r="D152" s="22" t="str">
        <x:v>WFSB Weekly Huddle</x:v>
      </x:c>
      <x:c r="E152" s="22" t="str">
        <x:v>Family Programs Staff Meeting &amp; IPRs</x:v>
      </x:c>
      <x:c r="F152" s="22" t="str"/>
      <x:c r="G152" s="22" t="str"/>
      <x:c r="H152" s="24"/>
      <x:c r="I152" s="24"/>
      <x:c r="J152" s="25"/>
      <x:c r="K152" s="26" t="n">
        <x:v>14</x:v>
      </x:c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 t="n">
        <x:v>14</x:v>
      </x:c>
    </x:row>
    <x:row r="153">
      <x:c r="A153" s="22" t="str">
        <x:v>June</x:v>
      </x:c>
      <x:c r="B153" s="23" t="n">
        <x:v>44720</x:v>
      </x:c>
      <x:c r="C153" s="23" t="n">
        <x:v>44720</x:v>
      </x:c>
      <x:c r="D153" s="22" t="str">
        <x:v>Patching Ceremony June</x:v>
      </x:c>
      <x:c r="E153" s="22" t="str">
        <x:v>Command/Unit/FRG Briefings</x:v>
      </x:c>
      <x:c r="F153" s="22" t="str"/>
      <x:c r="G153" s="22" t="str"/>
      <x:c r="H153" s="24"/>
      <x:c r="I153" s="24"/>
      <x:c r="J153" s="25" t="n">
        <x:v>1</x:v>
      </x:c>
      <x:c r="K153" s="26" t="n">
        <x:v>8</x:v>
      </x:c>
      <x:c r="L153" s="26"/>
      <x:c r="M153" s="26"/>
      <x:c r="N153" s="26" t="n">
        <x:v>2</x:v>
      </x:c>
      <x:c r="O153" s="26"/>
      <x:c r="P153" s="26"/>
      <x:c r="Q153" s="26"/>
      <x:c r="R153" s="26"/>
      <x:c r="S153" s="26"/>
      <x:c r="T153" s="26"/>
      <x:c r="U153" s="26"/>
      <x:c r="V153" s="26" t="n">
        <x:v>10</x:v>
      </x:c>
    </x:row>
    <x:row r="154">
      <x:c r="A154" s="22" t="str">
        <x:v>June</x:v>
      </x:c>
      <x:c r="B154" s="23" t="n">
        <x:v>44721</x:v>
      </x:c>
      <x:c r="C154" s="23" t="n">
        <x:v>44721</x:v>
      </x:c>
      <x:c r="D154" s="22" t="str">
        <x:v>Summer Concert Series</x:v>
      </x:c>
      <x:c r="E154" s="22" t="str">
        <x:v>Family Days and Military Appreciation Events</x:v>
      </x:c>
      <x:c r="F154" s="22" t="str"/>
      <x:c r="G154" s="22" t="str"/>
      <x:c r="H154" s="24"/>
      <x:c r="I154" s="24"/>
      <x:c r="J154" s="25" t="n">
        <x:v>1</x:v>
      </x:c>
      <x:c r="K154" s="26" t="n">
        <x:v>2</x:v>
      </x:c>
      <x:c r="L154" s="26"/>
      <x:c r="M154" s="26"/>
      <x:c r="N154" s="26" t="n">
        <x:v>8</x:v>
      </x:c>
      <x:c r="O154" s="26"/>
      <x:c r="P154" s="26"/>
      <x:c r="Q154" s="26"/>
      <x:c r="R154" s="26"/>
      <x:c r="S154" s="26"/>
      <x:c r="T154" s="26"/>
      <x:c r="U154" s="26"/>
      <x:c r="V154" s="26" t="n">
        <x:v>10</x:v>
      </x:c>
    </x:row>
    <x:row r="155">
      <x:c r="A155" s="22" t="str">
        <x:v>June</x:v>
      </x:c>
      <x:c r="B155" s="23" t="n">
        <x:v>44735</x:v>
      </x:c>
      <x:c r="C155" s="23" t="n">
        <x:v>44735</x:v>
      </x:c>
      <x:c r="D155" s="22" t="str">
        <x:v>Summer Concert Series</x:v>
      </x:c>
      <x:c r="E155" s="22" t="str">
        <x:v>Partnered Event or Activity</x:v>
      </x:c>
      <x:c r="F155" s="22" t="str"/>
      <x:c r="G155" s="22" t="str"/>
      <x:c r="H155" s="24" t="n">
        <x:v>2</x:v>
      </x:c>
      <x:c r="I155" s="24" t="n">
        <x:v>3</x:v>
      </x:c>
      <x:c r="J155" s="25" t="n">
        <x:v>3</x:v>
      </x:c>
      <x:c r="K155" s="26" t="n">
        <x:v>13</x:v>
      </x:c>
      <x:c r="L155" s="26"/>
      <x:c r="M155" s="26"/>
      <x:c r="N155" s="26" t="n">
        <x:v>48</x:v>
      </x:c>
      <x:c r="O155" s="26"/>
      <x:c r="P155" s="26"/>
      <x:c r="Q155" s="26" t="n">
        <x:v>9</x:v>
      </x:c>
      <x:c r="R155" s="26"/>
      <x:c r="S155" s="26"/>
      <x:c r="T155" s="26"/>
      <x:c r="U155" s="26" t="n">
        <x:v>20</x:v>
      </x:c>
      <x:c r="V155" s="26" t="n">
        <x:v>90</x:v>
      </x:c>
    </x:row>
    <x:row r="156">
      <x:c r="A156" s="22" t="str">
        <x:v>June</x:v>
      </x:c>
      <x:c r="B156" s="23" t="n">
        <x:v>44738</x:v>
      </x:c>
      <x:c r="C156" s="23" t="n">
        <x:v>44738</x:v>
      </x:c>
      <x:c r="D156" s="22" t="str">
        <x:v>YR 209 Med Pre</x:v>
      </x:c>
      <x:c r="E156" s="22" t="str">
        <x:v>Yellow Ribbon Briefing and Programming</x:v>
      </x:c>
      <x:c r="F156" s="22" t="str"/>
      <x:c r="G156" s="22" t="str"/>
      <x:c r="H156" s="24" t="n">
        <x:v>1</x:v>
      </x:c>
      <x:c r="I156" s="24" t="n">
        <x:v>8</x:v>
      </x:c>
      <x:c r="J156" s="25" t="n">
        <x:v>8</x:v>
      </x:c>
      <x:c r="K156" s="26" t="n">
        <x:v>226</x:v>
      </x:c>
      <x:c r="L156" s="26"/>
      <x:c r="M156" s="26"/>
      <x:c r="N156" s="26" t="n">
        <x:v>3</x:v>
      </x:c>
      <x:c r="O156" s="26"/>
      <x:c r="P156" s="26"/>
      <x:c r="Q156" s="26" t="n">
        <x:v>1</x:v>
      </x:c>
      <x:c r="R156" s="26"/>
      <x:c r="S156" s="26"/>
      <x:c r="T156" s="26"/>
      <x:c r="U156" s="26" t="n">
        <x:v>8</x:v>
      </x:c>
      <x:c r="V156" s="26" t="n">
        <x:v>238</x:v>
      </x:c>
    </x:row>
    <x:row r="157">
      <x:c r="A157" s="22" t="str">
        <x:v>June</x:v>
      </x:c>
      <x:c r="B157" s="23" t="n">
        <x:v>44738</x:v>
      </x:c>
      <x:c r="C157" s="23" t="n">
        <x:v>44738</x:v>
      </x:c>
      <x:c r="D157" s="22" t="str">
        <x:v>Volunteer Training</x:v>
      </x:c>
      <x:c r="E157" s="22" t="str">
        <x:v>Volunteer Training</x:v>
      </x:c>
      <x:c r="F157" s="22" t="str"/>
      <x:c r="G157" s="22" t="str"/>
      <x:c r="H157" s="24"/>
      <x:c r="I157" s="24" t="n">
        <x:v>1</x:v>
      </x:c>
      <x:c r="J157" s="25" t="n">
        <x:v>1</x:v>
      </x:c>
      <x:c r="K157" s="26" t="n">
        <x:v>1</x:v>
      </x:c>
      <x:c r="L157" s="26"/>
      <x:c r="M157" s="26"/>
      <x:c r="N157" s="26"/>
      <x:c r="O157" s="26"/>
      <x:c r="P157" s="26"/>
      <x:c r="Q157" s="26" t="n">
        <x:v>1</x:v>
      </x:c>
      <x:c r="R157" s="26"/>
      <x:c r="S157" s="26"/>
      <x:c r="T157" s="26"/>
      <x:c r="U157" s="26"/>
      <x:c r="V157" s="26" t="n">
        <x:v>2</x:v>
      </x:c>
    </x:row>
    <x:row r="158">
      <x:c r="A158" s="22" t="str">
        <x:v>June</x:v>
      </x:c>
      <x:c r="B158" s="23" t="n">
        <x:v>44740</x:v>
      </x:c>
      <x:c r="C158" s="23" t="n">
        <x:v>44740</x:v>
      </x:c>
      <x:c r="D158" s="22" t="str">
        <x:v>Summer Concert Series</x:v>
      </x:c>
      <x:c r="E158" s="22" t="str">
        <x:v>Partnered Event or Activity</x:v>
      </x:c>
      <x:c r="F158" s="22" t="str"/>
      <x:c r="G158" s="22" t="str"/>
      <x:c r="H158" s="24" t="n">
        <x:v>2</x:v>
      </x:c>
      <x:c r="I158" s="24" t="n">
        <x:v>3</x:v>
      </x:c>
      <x:c r="J158" s="25" t="n">
        <x:v>3</x:v>
      </x:c>
      <x:c r="K158" s="26" t="n">
        <x:v>8</x:v>
      </x:c>
      <x:c r="L158" s="26"/>
      <x:c r="M158" s="26"/>
      <x:c r="N158" s="26" t="n">
        <x:v>32</x:v>
      </x:c>
      <x:c r="O158" s="26"/>
      <x:c r="P158" s="26"/>
      <x:c r="Q158" s="26" t="n">
        <x:v>7</x:v>
      </x:c>
      <x:c r="R158" s="26"/>
      <x:c r="S158" s="26"/>
      <x:c r="T158" s="26"/>
      <x:c r="U158" s="26" t="n">
        <x:v>7</x:v>
      </x:c>
      <x:c r="V158" s="26" t="n">
        <x:v>54</x:v>
      </x:c>
    </x:row>
    <x:row r="159">
      <x:c r="A159" s="22" t="str">
        <x:v>August</x:v>
      </x:c>
      <x:c r="B159" s="23" t="n">
        <x:v>44749</x:v>
      </x:c>
      <x:c r="C159" s="23" t="n">
        <x:v>44786</x:v>
      </x:c>
      <x:c r="D159" s="22" t="str">
        <x:v>State Teen Panel</x:v>
      </x:c>
      <x:c r="E159" s="22" t="str">
        <x:v>Teen Council Meeting or Training</x:v>
      </x:c>
      <x:c r="F159" s="22" t="str"/>
      <x:c r="G159" s="22" t="str"/>
      <x:c r="H159" s="24"/>
      <x:c r="I159" s="24"/>
      <x:c r="J159" s="25" t="n">
        <x:v>85</x:v>
      </x:c>
      <x:c r="K159" s="26"/>
      <x:c r="L159" s="26"/>
      <x:c r="M159" s="26"/>
      <x:c r="N159" s="26"/>
      <x:c r="O159" s="26"/>
      <x:c r="P159" s="26"/>
      <x:c r="Q159" s="26" t="n">
        <x:v>2</x:v>
      </x:c>
      <x:c r="R159" s="26"/>
      <x:c r="S159" s="26"/>
      <x:c r="T159" s="26"/>
      <x:c r="U159" s="26"/>
      <x:c r="V159" s="26" t="n">
        <x:v>2</x:v>
      </x:c>
    </x:row>
    <x:row r="160">
      <x:c r="A160" s="22" t="str">
        <x:v>July</x:v>
      </x:c>
      <x:c r="B160" s="23" t="n">
        <x:v>44754</x:v>
      </x:c>
      <x:c r="C160" s="23" t="n">
        <x:v>44754</x:v>
      </x:c>
      <x:c r="D160" s="22" t="str">
        <x:v>Joining Community Services</x:v>
      </x:c>
      <x:c r="E160" s="22" t="str">
        <x:v>Community Outreach, Briefings and Events</x:v>
      </x:c>
      <x:c r="F160" s="22" t="str"/>
      <x:c r="G160" s="22" t="str"/>
      <x:c r="H160" s="24"/>
      <x:c r="I160" s="24"/>
      <x:c r="J160" s="25"/>
      <x:c r="K160" s="26"/>
      <x:c r="L160" s="26" t="n">
        <x:v>8</x:v>
      </x:c>
      <x:c r="M160" s="26"/>
      <x:c r="N160" s="26"/>
      <x:c r="O160" s="26"/>
      <x:c r="P160" s="26"/>
      <x:c r="Q160" s="26"/>
      <x:c r="R160" s="26"/>
      <x:c r="S160" s="26"/>
      <x:c r="T160" s="26" t="n">
        <x:v>24</x:v>
      </x:c>
      <x:c r="U160" s="26"/>
      <x:c r="V160" s="26" t="n">
        <x:v>32</x:v>
      </x:c>
    </x:row>
    <x:row r="161">
      <x:c r="A161" s="22" t="str">
        <x:v>July</x:v>
      </x:c>
      <x:c r="B161" s="23" t="n">
        <x:v>44758</x:v>
      </x:c>
      <x:c r="C161" s="23" t="n">
        <x:v>44758</x:v>
      </x:c>
      <x:c r="D161" s="22" t="str">
        <x:v>SOS Retreat</x:v>
      </x:c>
      <x:c r="E161" s="22" t="str">
        <x:v>Gold Star Training/Event</x:v>
      </x:c>
      <x:c r="F161" s="22" t="str"/>
      <x:c r="G161" s="22" t="str"/>
      <x:c r="H161" s="24" t="n">
        <x:v>2</x:v>
      </x:c>
      <x:c r="I161" s="24" t="n">
        <x:v>9</x:v>
      </x:c>
      <x:c r="J161" s="25" t="n">
        <x:v>9</x:v>
      </x:c>
      <x:c r="K161" s="26" t="n">
        <x:v>126</x:v>
      </x:c>
      <x:c r="L161" s="26"/>
      <x:c r="M161" s="26"/>
      <x:c r="N161" s="26" t="n">
        <x:v>16</x:v>
      </x:c>
      <x:c r="O161" s="26"/>
      <x:c r="P161" s="26"/>
      <x:c r="Q161" s="26" t="n">
        <x:v>6</x:v>
      </x:c>
      <x:c r="R161" s="26"/>
      <x:c r="S161" s="26"/>
      <x:c r="T161" s="26"/>
      <x:c r="U161" s="26"/>
      <x:c r="V161" s="26" t="n">
        <x:v>148</x:v>
      </x:c>
    </x:row>
    <x:row r="162">
      <x:c r="A162" s="22" t="str">
        <x:v>August</x:v>
      </x:c>
      <x:c r="B162" s="23" t="n">
        <x:v>44778</x:v>
      </x:c>
      <x:c r="C162" s="23" t="n">
        <x:v>44778</x:v>
      </x:c>
      <x:c r="D162" s="22" t="str">
        <x:v>IOGOA Family Event</x:v>
      </x:c>
      <x:c r="E162" s="22" t="str">
        <x:v>Family Days and Military Appreciation Events</x:v>
      </x:c>
      <x:c r="F162" s="22" t="str"/>
      <x:c r="G162" s="22" t="str"/>
      <x:c r="H162" s="24"/>
      <x:c r="I162" s="24"/>
      <x:c r="J162" s="25" t="n">
        <x:v>3</x:v>
      </x:c>
      <x:c r="K162" s="26" t="n">
        <x:v>97</x:v>
      </x:c>
      <x:c r="L162" s="26"/>
      <x:c r="M162" s="26"/>
      <x:c r="N162" s="26" t="n">
        <x:v>86</x:v>
      </x:c>
      <x:c r="O162" s="26"/>
      <x:c r="P162" s="26"/>
      <x:c r="Q162" s="26" t="n">
        <x:v>20</x:v>
      </x:c>
      <x:c r="R162" s="26"/>
      <x:c r="S162" s="26"/>
      <x:c r="T162" s="26"/>
      <x:c r="U162" s="26" t="n">
        <x:v>16</x:v>
      </x:c>
      <x:c r="V162" s="26" t="n">
        <x:v>219</x:v>
      </x:c>
    </x:row>
    <x:row r="163">
      <x:c r="A163" s="22" t="str">
        <x:v>August</x:v>
      </x:c>
      <x:c r="B163" s="23" t="n">
        <x:v>44780</x:v>
      </x:c>
      <x:c r="C163" s="23" t="n">
        <x:v>44786</x:v>
      </x:c>
      <x:c r="D163" s="22" t="str">
        <x:v>Youth Symposium </x:v>
      </x:c>
      <x:c r="E163" s="22" t="str">
        <x:v>Youth Symposium</x:v>
      </x:c>
      <x:c r="F163" s="22" t="str"/>
      <x:c r="G163" s="22" t="str"/>
      <x:c r="H163" s="24" t="n">
        <x:v>3</x:v>
      </x:c>
      <x:c r="I163" s="24" t="n">
        <x:v>85</x:v>
      </x:c>
      <x:c r="J163" s="25" t="n">
        <x:v>85</x:v>
      </x:c>
      <x:c r="K163" s="26"/>
      <x:c r="L163" s="26"/>
      <x:c r="M163" s="26"/>
      <x:c r="N163" s="26" t="n">
        <x:v>43</x:v>
      </x:c>
      <x:c r="O163" s="26"/>
      <x:c r="P163" s="26"/>
      <x:c r="Q163" s="26" t="n">
        <x:v>33</x:v>
      </x:c>
      <x:c r="R163" s="26"/>
      <x:c r="S163" s="26"/>
      <x:c r="T163" s="26"/>
      <x:c r="U163" s="26"/>
      <x:c r="V163" s="26" t="n">
        <x:v>76</x:v>
      </x:c>
    </x:row>
    <x:row r="164">
      <x:c r="A164" s="22" t="str">
        <x:v>August</x:v>
      </x:c>
      <x:c r="B164" s="23" t="n">
        <x:v>44780</x:v>
      </x:c>
      <x:c r="C164" s="23" t="n">
        <x:v>44780</x:v>
      </x:c>
      <x:c r="D164" s="22" t="str">
        <x:v>Volunteer Training</x:v>
      </x:c>
      <x:c r="E164" s="22" t="str">
        <x:v>Volunteer Training</x:v>
      </x:c>
      <x:c r="F164" s="22" t="str"/>
      <x:c r="G164" s="22" t="str"/>
      <x:c r="H164" s="24"/>
      <x:c r="I164" s="24"/>
      <x:c r="J164" s="25" t="n">
        <x:v>3</x:v>
      </x:c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 t="n">
        <x:v>17</x:v>
      </x:c>
      <x:c r="U164" s="26"/>
      <x:c r="V164" s="26" t="n">
        <x:v>17</x:v>
      </x:c>
    </x:row>
    <x:row r="165">
      <x:c r="A165" s="22" t="str">
        <x:v>August</x:v>
      </x:c>
      <x:c r="B165" s="23" t="n">
        <x:v>44786</x:v>
      </x:c>
      <x:c r="C165" s="23" t="n">
        <x:v>44786</x:v>
      </x:c>
      <x:c r="D165" s="22" t="str">
        <x:v>MFE Waterloo</x:v>
      </x:c>
      <x:c r="E165" s="22" t="str">
        <x:v>Day Camp</x:v>
      </x:c>
      <x:c r="F165" s="22" t="str"/>
      <x:c r="G165" s="22" t="str"/>
      <x:c r="H165" s="24"/>
      <x:c r="I165" s="24"/>
      <x:c r="J165" s="25" t="n">
        <x:v>6</x:v>
      </x:c>
      <x:c r="K165" s="26" t="n">
        <x:v>35</x:v>
      </x:c>
      <x:c r="L165" s="26"/>
      <x:c r="M165" s="26"/>
      <x:c r="N165" s="26" t="n">
        <x:v>31</x:v>
      </x:c>
      <x:c r="O165" s="26"/>
      <x:c r="P165" s="26"/>
      <x:c r="Q165" s="26" t="n">
        <x:v>13</x:v>
      </x:c>
      <x:c r="R165" s="26"/>
      <x:c r="S165" s="26"/>
      <x:c r="T165" s="26"/>
      <x:c r="U165" s="26" t="n">
        <x:v>3</x:v>
      </x:c>
      <x:c r="V165" s="26" t="n">
        <x:v>82</x:v>
      </x:c>
    </x:row>
    <x:row r="166">
      <x:c r="A166" s="22" t="str">
        <x:v>September</x:v>
      </x:c>
      <x:c r="B166" s="23" t="n">
        <x:v>44813</x:v>
      </x:c>
      <x:c r="C166" s="23" t="n">
        <x:v>44813</x:v>
      </x:c>
      <x:c r="D166" s="22" t="str">
        <x:v>Yellow Ribbon Pre 1-133rd</x:v>
      </x:c>
      <x:c r="E166" s="22" t="str">
        <x:v>Yellow Ribbon Briefing and Programming</x:v>
      </x:c>
      <x:c r="F166" s="22" t="str"/>
      <x:c r="G166" s="22" t="str"/>
      <x:c r="H166" s="24" t="n">
        <x:v>3</x:v>
      </x:c>
      <x:c r="I166" s="24" t="n">
        <x:v>5</x:v>
      </x:c>
      <x:c r="J166" s="25" t="n">
        <x:v>8</x:v>
      </x:c>
      <x:c r="K166" s="26"/>
      <x:c r="L166" s="26"/>
      <x:c r="M166" s="26"/>
      <x:c r="N166" s="26" t="n">
        <x:v>10</x:v>
      </x:c>
      <x:c r="O166" s="26"/>
      <x:c r="P166" s="26"/>
      <x:c r="Q166" s="26"/>
      <x:c r="R166" s="26"/>
      <x:c r="S166" s="26"/>
      <x:c r="T166" s="26"/>
      <x:c r="U166" s="26"/>
      <x:c r="V166" s="26" t="n">
        <x:v>10</x:v>
      </x:c>
    </x:row>
    <x:row r="167">
      <x:c r="A167" s="22" t="str">
        <x:v>September</x:v>
      </x:c>
      <x:c r="B167" s="23" t="n">
        <x:v>44813</x:v>
      </x:c>
      <x:c r="C167" s="23" t="n">
        <x:v>44813</x:v>
      </x:c>
      <x:c r="D167" s="22" t="str">
        <x:v>Volunteer Orientation</x:v>
      </x:c>
      <x:c r="E167" s="22" t="str">
        <x:v>Volunteer Training</x:v>
      </x:c>
      <x:c r="F167" s="22" t="str"/>
      <x:c r="G167" s="22" t="str"/>
      <x:c r="H167" s="24" t="n">
        <x:v>2</x:v>
      </x:c>
      <x:c r="I167" s="24"/>
      <x:c r="J167" s="25" t="n">
        <x:v>1</x:v>
      </x:c>
      <x:c r="K167" s="26"/>
      <x:c r="L167" s="26"/>
      <x:c r="M167" s="26"/>
      <x:c r="N167" s="26"/>
      <x:c r="O167" s="26"/>
      <x:c r="P167" s="26"/>
      <x:c r="Q167" s="26" t="n">
        <x:v>2</x:v>
      </x:c>
      <x:c r="R167" s="26"/>
      <x:c r="S167" s="26"/>
      <x:c r="T167" s="26"/>
      <x:c r="U167" s="26"/>
      <x:c r="V167" s="26" t="n">
        <x:v>2</x:v>
      </x:c>
    </x:row>
    <x:row r="168">
      <x:c r="A168" s="22" t="str">
        <x:v>September</x:v>
      </x:c>
      <x:c r="B168" s="23" t="n">
        <x:v>44814</x:v>
      </x:c>
      <x:c r="C168" s="23" t="n">
        <x:v>44814</x:v>
      </x:c>
      <x:c r="D168" s="22" t="str">
        <x:v>MFE: Emerge</x:v>
      </x:c>
      <x:c r="E168" s="22" t="str">
        <x:v>Day Camp</x:v>
      </x:c>
      <x:c r="F168" s="22" t="str"/>
      <x:c r="G168" s="22" t="str"/>
      <x:c r="H168" s="24" t="n">
        <x:v>3</x:v>
      </x:c>
      <x:c r="I168" s="24" t="n">
        <x:v>2</x:v>
      </x:c>
      <x:c r="J168" s="25" t="n">
        <x:v>2</x:v>
      </x:c>
      <x:c r="K168" s="26" t="n">
        <x:v>34</x:v>
      </x:c>
      <x:c r="L168" s="26"/>
      <x:c r="M168" s="26"/>
      <x:c r="N168" s="26" t="n">
        <x:v>49</x:v>
      </x:c>
      <x:c r="O168" s="26"/>
      <x:c r="P168" s="26"/>
      <x:c r="Q168" s="26" t="n">
        <x:v>5</x:v>
      </x:c>
      <x:c r="R168" s="26"/>
      <x:c r="S168" s="26"/>
      <x:c r="T168" s="26"/>
      <x:c r="U168" s="26" t="n">
        <x:v>9</x:v>
      </x:c>
      <x:c r="V168" s="26" t="n">
        <x:v>97</x:v>
      </x:c>
    </x:row>
    <x:row r="169">
      <x:c r="A169" s="22" t="str">
        <x:v>September</x:v>
      </x:c>
      <x:c r="B169" s="23" t="n">
        <x:v>44821</x:v>
      </x:c>
      <x:c r="C169" s="23" t="n">
        <x:v>44821</x:v>
      </x:c>
      <x:c r="D169" s="22" t="str">
        <x:v>109th Unit Family Day</x:v>
      </x:c>
      <x:c r="E169" s="22" t="str">
        <x:v>Family Days and Military Appreciation Events</x:v>
      </x:c>
      <x:c r="F169" s="22" t="str"/>
      <x:c r="G169" s="22" t="str"/>
      <x:c r="H169" s="24" t="n">
        <x:v>1</x:v>
      </x:c>
      <x:c r="I169" s="24" t="n">
        <x:v>2</x:v>
      </x:c>
      <x:c r="J169" s="25" t="n">
        <x:v>2</x:v>
      </x:c>
      <x:c r="K169" s="26" t="n">
        <x:v>65</x:v>
      </x:c>
      <x:c r="L169" s="26"/>
      <x:c r="M169" s="26"/>
      <x:c r="N169" s="26" t="n">
        <x:v>57</x:v>
      </x:c>
      <x:c r="O169" s="26"/>
      <x:c r="P169" s="26"/>
      <x:c r="Q169" s="26" t="n">
        <x:v>11</x:v>
      </x:c>
      <x:c r="R169" s="26"/>
      <x:c r="S169" s="26"/>
      <x:c r="T169" s="26"/>
      <x:c r="U169" s="26" t="n">
        <x:v>14</x:v>
      </x:c>
      <x:c r="V169" s="26" t="n">
        <x:v>147</x:v>
      </x:c>
    </x:row>
    <x:row r="170">
      <x:c r="A170" s="22" t="str">
        <x:v>October</x:v>
      </x:c>
      <x:c r="B170" s="23" t="n">
        <x:v>44849</x:v>
      </x:c>
      <x:c r="C170" s="23" t="n">
        <x:v>44849</x:v>
      </x:c>
      <x:c r="D170" s="22" t="str">
        <x:v>Volunteer Training</x:v>
      </x:c>
      <x:c r="E170" s="22" t="str">
        <x:v>Volunteer Training</x:v>
      </x:c>
      <x:c r="F170" s="22" t="str"/>
      <x:c r="G170" s="22" t="str"/>
      <x:c r="H170" s="24" t="n">
        <x:v>10</x:v>
      </x:c>
      <x:c r="I170" s="24"/>
      <x:c r="J170" s="25" t="n">
        <x:v>1</x:v>
      </x:c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 t="n">
        <x:v>0</x:v>
      </x:c>
    </x:row>
    <x:row r="171">
      <x:c r="A171" s="22" t="str">
        <x:v>October</x:v>
      </x:c>
      <x:c r="B171" s="23" t="n">
        <x:v>44849</x:v>
      </x:c>
      <x:c r="C171" s="23" t="n">
        <x:v>44849</x:v>
      </x:c>
      <x:c r="D171" s="22" t="str">
        <x:v>FFF Des Moines</x:v>
      </x:c>
      <x:c r="E171" s="22" t="str">
        <x:v>Family Days and Military Appreciation Events</x:v>
      </x:c>
      <x:c r="F171" s="22" t="str"/>
      <x:c r="G171" s="22" t="str"/>
      <x:c r="H171" s="24" t="n">
        <x:v>30</x:v>
      </x:c>
      <x:c r="I171" s="24" t="n">
        <x:v>2.5</x:v>
      </x:c>
      <x:c r="J171" s="25" t="n">
        <x:v>2</x:v>
      </x:c>
      <x:c r="K171" s="26" t="n">
        <x:v>134</x:v>
      </x:c>
      <x:c r="L171" s="26"/>
      <x:c r="M171" s="26"/>
      <x:c r="N171" s="26" t="n">
        <x:v>87</x:v>
      </x:c>
      <x:c r="O171" s="26"/>
      <x:c r="P171" s="26"/>
      <x:c r="Q171" s="26" t="n">
        <x:v>15</x:v>
      </x:c>
      <x:c r="R171" s="26"/>
      <x:c r="S171" s="26"/>
      <x:c r="T171" s="26"/>
      <x:c r="U171" s="26" t="n">
        <x:v>90</x:v>
      </x:c>
      <x:c r="V171" s="26" t="n">
        <x:v>326</x:v>
      </x:c>
    </x:row>
    <x:row r="172">
      <x:c r="A172" s="22" t="str">
        <x:v>October</x:v>
      </x:c>
      <x:c r="B172" s="23" t="n">
        <x:v>44850</x:v>
      </x:c>
      <x:c r="C172" s="23" t="n">
        <x:v>44850</x:v>
      </x:c>
      <x:c r="D172" s="22" t="str">
        <x:v>Fall Family Festival Sioux City</x:v>
      </x:c>
      <x:c r="E172" s="22" t="str">
        <x:v>Partnered Event or Activity</x:v>
      </x:c>
      <x:c r="F172" s="22" t="str"/>
      <x:c r="G172" s="22" t="str"/>
      <x:c r="H172" s="24"/>
      <x:c r="I172" s="24"/>
      <x:c r="J172" s="25" t="n">
        <x:v>3</x:v>
      </x:c>
      <x:c r="K172" s="26" t="n">
        <x:v>130</x:v>
      </x:c>
      <x:c r="L172" s="26"/>
      <x:c r="M172" s="26"/>
      <x:c r="N172" s="26" t="n">
        <x:v>114</x:v>
      </x:c>
      <x:c r="O172" s="26"/>
      <x:c r="P172" s="26"/>
      <x:c r="Q172" s="26" t="n">
        <x:v>21</x:v>
      </x:c>
      <x:c r="R172" s="26"/>
      <x:c r="S172" s="26"/>
      <x:c r="T172" s="26"/>
      <x:c r="U172" s="26" t="n">
        <x:v>27</x:v>
      </x:c>
      <x:c r="V172" s="26" t="n">
        <x:v>292</x:v>
      </x:c>
    </x:row>
    <x:row r="173">
      <x:c r="A173" s="22" t="str">
        <x:v>October</x:v>
      </x:c>
      <x:c r="B173" s="23" t="n">
        <x:v>44850</x:v>
      </x:c>
      <x:c r="C173" s="23" t="n">
        <x:v>44850</x:v>
      </x:c>
      <x:c r="D173" s="22" t="str">
        <x:v>Fall Family Festival Council Bluffs</x:v>
      </x:c>
      <x:c r="E173" s="22" t="str">
        <x:v>Partnered Event or Activity</x:v>
      </x:c>
      <x:c r="F173" s="22" t="str"/>
      <x:c r="G173" s="22" t="str"/>
      <x:c r="H173" s="24"/>
      <x:c r="I173" s="24"/>
      <x:c r="J173" s="25" t="n">
        <x:v>2</x:v>
      </x:c>
      <x:c r="K173" s="26" t="n">
        <x:v>141</x:v>
      </x:c>
      <x:c r="L173" s="26"/>
      <x:c r="M173" s="26"/>
      <x:c r="N173" s="26" t="n">
        <x:v>124</x:v>
      </x:c>
      <x:c r="O173" s="26"/>
      <x:c r="P173" s="26"/>
      <x:c r="Q173" s="26" t="n">
        <x:v>23</x:v>
      </x:c>
      <x:c r="R173" s="26"/>
      <x:c r="S173" s="26"/>
      <x:c r="T173" s="26"/>
      <x:c r="U173" s="26" t="n">
        <x:v>29</x:v>
      </x:c>
      <x:c r="V173" s="26" t="n">
        <x:v>317</x:v>
      </x:c>
    </x:row>
    <x:row r="174">
      <x:c r="A174" s="22" t="str">
        <x:v>November</x:v>
      </x:c>
      <x:c r="B174" s="23" t="n">
        <x:v>44873</x:v>
      </x:c>
      <x:c r="C174" s="23" t="n">
        <x:v>44873</x:v>
      </x:c>
      <x:c r="D174" s="22" t="str">
        <x:v>WFSB Training Meeting</x:v>
      </x:c>
      <x:c r="E174" s="22" t="str">
        <x:v>Family Programs Staff Meeting &amp; IPRs</x:v>
      </x:c>
      <x:c r="F174" s="22" t="str"/>
      <x:c r="G174" s="22" t="str"/>
      <x:c r="H174" s="24"/>
      <x:c r="I174" s="24"/>
      <x:c r="J174" s="25"/>
      <x:c r="K174" s="26" t="n">
        <x:v>9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 t="n">
        <x:v>9</x:v>
      </x:c>
    </x:row>
    <x:row r="175">
      <x:c r="A175" s="22" t="str">
        <x:v>December</x:v>
      </x:c>
      <x:c r="B175" s="23" t="n">
        <x:v>44899</x:v>
      </x:c>
      <x:c r="C175" s="23" t="n">
        <x:v>44899</x:v>
      </x:c>
      <x:c r="D175" s="22" t="str">
        <x:v>Holiday Party</x:v>
      </x:c>
      <x:c r="E175" s="22" t="str">
        <x:v>Family Days and Military Appreciation Events</x:v>
      </x:c>
      <x:c r="F175" s="22" t="str"/>
      <x:c r="G175" s="22" t="str"/>
      <x:c r="H175" s="24" t="n">
        <x:v>1</x:v>
      </x:c>
      <x:c r="I175" s="24" t="n">
        <x:v>2</x:v>
      </x:c>
      <x:c r="J175" s="25" t="n">
        <x:v>2</x:v>
      </x:c>
      <x:c r="K175" s="26" t="n">
        <x:v>100</x:v>
      </x:c>
      <x:c r="L175" s="26"/>
      <x:c r="M175" s="26"/>
      <x:c r="N175" s="26" t="n">
        <x:v>12</x:v>
      </x:c>
      <x:c r="O175" s="26"/>
      <x:c r="P175" s="26"/>
      <x:c r="Q175" s="26" t="n">
        <x:v>4</x:v>
      </x:c>
      <x:c r="R175" s="26"/>
      <x:c r="S175" s="26"/>
      <x:c r="T175" s="26"/>
      <x:c r="U175" s="26" t="n">
        <x:v>8</x:v>
      </x:c>
      <x:c r="V175" s="26" t="n">
        <x:v>124</x:v>
      </x:c>
    </x:row>
    <x:row r="176">
      <x:c r="A176" s="22" t="str">
        <x:v>December</x:v>
      </x:c>
      <x:c r="B176" s="23" t="n">
        <x:v>44900</x:v>
      </x:c>
      <x:c r="C176" s="23" t="n">
        <x:v>44900</x:v>
      </x:c>
      <x:c r="D176" s="22" t="str">
        <x:v>ANG 132 OG/124th ATKS Family Day</x:v>
      </x:c>
      <x:c r="E176" s="22" t="str">
        <x:v>Family Days and Military Appreciation Events</x:v>
      </x:c>
      <x:c r="F176" s="22" t="str"/>
      <x:c r="G176" s="22" t="str"/>
      <x:c r="H176" s="24" t="n">
        <x:v>1</x:v>
      </x:c>
      <x:c r="I176" s="24" t="n">
        <x:v>2</x:v>
      </x:c>
      <x:c r="J176" s="25" t="n">
        <x:v>2</x:v>
      </x:c>
      <x:c r="K176" s="26" t="n">
        <x:v>52</x:v>
      </x:c>
      <x:c r="L176" s="26"/>
      <x:c r="M176" s="26"/>
      <x:c r="N176" s="26" t="n">
        <x:v>46</x:v>
      </x:c>
      <x:c r="O176" s="26"/>
      <x:c r="P176" s="26"/>
      <x:c r="Q176" s="26" t="n">
        <x:v>8</x:v>
      </x:c>
      <x:c r="R176" s="26"/>
      <x:c r="S176" s="26"/>
      <x:c r="T176" s="26"/>
      <x:c r="U176" s="26" t="n">
        <x:v>11</x:v>
      </x:c>
      <x:c r="V176" s="26" t="n">
        <x:v>117</x:v>
      </x:c>
    </x:row>
    <x:row r="177">
      <x:c r="A177" s="22" t="str">
        <x:v>December</x:v>
      </x:c>
      <x:c r="B177" s="23" t="n">
        <x:v>44904</x:v>
      </x:c>
      <x:c r="C177" s="23" t="n">
        <x:v>44906</x:v>
      </x:c>
      <x:c r="D177" s="22" t="str">
        <x:v>STP Summit</x:v>
      </x:c>
      <x:c r="E177" s="22" t="str">
        <x:v>Teen Council Meeting or Training</x:v>
      </x:c>
      <x:c r="F177" s="22" t="str"/>
      <x:c r="G177" s="22" t="str"/>
      <x:c r="H177" s="24" t="n">
        <x:v>1</x:v>
      </x:c>
      <x:c r="I177" s="24" t="n">
        <x:v>4</x:v>
      </x:c>
      <x:c r="J177" s="25" t="n">
        <x:v>21</x:v>
      </x:c>
      <x:c r="K177" s="26"/>
      <x:c r="L177" s="26"/>
      <x:c r="M177" s="26"/>
      <x:c r="N177" s="26"/>
      <x:c r="O177" s="26"/>
      <x:c r="P177" s="26"/>
      <x:c r="Q177" s="26" t="n">
        <x:v>8</x:v>
      </x:c>
      <x:c r="R177" s="26"/>
      <x:c r="S177" s="26"/>
      <x:c r="T177" s="26"/>
      <x:c r="U177" s="26"/>
      <x:c r="V177" s="26" t="n">
        <x:v>8</x:v>
      </x:c>
    </x:row>
    <x:row r="178">
      <x:c r="A178" s="22" t="str">
        <x:v>December</x:v>
      </x:c>
      <x:c r="B178" s="23" t="n">
        <x:v>44905</x:v>
      </x:c>
      <x:c r="C178" s="23" t="n">
        <x:v>44905</x:v>
      </x:c>
      <x:c r="D178" s="22" t="str">
        <x:v>Cookies with Santa 2022</x:v>
      </x:c>
      <x:c r="E178" s="22" t="str">
        <x:v>Partnered Event or Activity</x:v>
      </x:c>
      <x:c r="F178" s="22" t="str"/>
      <x:c r="G178" s="22" t="str"/>
      <x:c r="H178" s="24" t="n">
        <x:v>16</x:v>
      </x:c>
      <x:c r="I178" s="24" t="n">
        <x:v>3</x:v>
      </x:c>
      <x:c r="J178" s="25" t="n">
        <x:v>2</x:v>
      </x:c>
      <x:c r="K178" s="26" t="n">
        <x:v>49</x:v>
      </x:c>
      <x:c r="L178" s="26"/>
      <x:c r="M178" s="26"/>
      <x:c r="N178" s="26" t="n">
        <x:v>24</x:v>
      </x:c>
      <x:c r="O178" s="26"/>
      <x:c r="P178" s="26"/>
      <x:c r="Q178" s="26" t="n">
        <x:v>9</x:v>
      </x:c>
      <x:c r="R178" s="26"/>
      <x:c r="S178" s="26"/>
      <x:c r="T178" s="26"/>
      <x:c r="U178" s="26" t="n">
        <x:v>30</x:v>
      </x:c>
      <x:c r="V178" s="26" t="n">
        <x:v>112</x:v>
      </x:c>
    </x:row>
    <x:row r="179">
      <x:c r="A179" s="22" t="str">
        <x:v>December</x:v>
      </x:c>
      <x:c r="B179" s="23" t="n">
        <x:v>44905</x:v>
      </x:c>
      <x:c r="C179" s="23" t="n">
        <x:v>44905</x:v>
      </x:c>
      <x:c r="D179" s="22" t="str">
        <x:v>Volunteer Training</x:v>
      </x:c>
      <x:c r="E179" s="22" t="str">
        <x:v>Volunteer Training</x:v>
      </x:c>
      <x:c r="F179" s="22" t="str"/>
      <x:c r="G179" s="22" t="str"/>
      <x:c r="H179" s="24" t="n">
        <x:v>11</x:v>
      </x:c>
      <x:c r="I179" s="24"/>
      <x:c r="J179" s="25" t="n">
        <x:v>1</x:v>
      </x:c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 t="n">
        <x:v>0</x:v>
      </x:c>
    </x:row>
    <x:row r="180">
      <x:c r="A180" s="22" t="str">
        <x:v>January</x:v>
      </x:c>
      <x:c r="B180" s="23" t="n">
        <x:v>44955</x:v>
      </x:c>
      <x:c r="C180" s="23" t="n">
        <x:v>44955</x:v>
      </x:c>
      <x:c r="D180" s="22" t="str">
        <x:v>MFE: Quad Cities</x:v>
      </x:c>
      <x:c r="E180" s="22" t="str">
        <x:v>Family Days and Military Appreciation Events</x:v>
      </x:c>
      <x:c r="F180" s="22" t="str"/>
      <x:c r="G180" s="22" t="str"/>
      <x:c r="H180" s="24"/>
      <x:c r="I180" s="24"/>
      <x:c r="J180" s="25" t="n">
        <x:v>2</x:v>
      </x:c>
      <x:c r="K180" s="26" t="n">
        <x:v>2</x:v>
      </x:c>
      <x:c r="L180" s="26"/>
      <x:c r="M180" s="26"/>
      <x:c r="N180" s="26" t="n">
        <x:v>5</x:v>
      </x:c>
      <x:c r="O180" s="26"/>
      <x:c r="P180" s="26"/>
      <x:c r="Q180" s="26" t="n">
        <x:v>2</x:v>
      </x:c>
      <x:c r="R180" s="26"/>
      <x:c r="S180" s="26"/>
      <x:c r="T180" s="26"/>
      <x:c r="U180" s="26"/>
      <x:c r="V180" s="26" t="n">
        <x:v>9</x:v>
      </x:c>
    </x:row>
    <x:row r="181">
      <x:c r="A181" s="22" t="str">
        <x:v>February</x:v>
      </x:c>
      <x:c r="B181" s="23" t="n">
        <x:v>44965</x:v>
      </x:c>
      <x:c r="C181" s="23" t="n">
        <x:v>44965</x:v>
      </x:c>
      <x:c r="D181" s="22" t="str">
        <x:v>JCF: Boone</x:v>
      </x:c>
      <x:c r="E181" s="22" t="str">
        <x:v>Community Outreach, Briefings and Events</x:v>
      </x:c>
      <x:c r="F181" s="22" t="str"/>
      <x:c r="G181" s="22" t="str"/>
      <x:c r="H181" s="24"/>
      <x:c r="I181" s="24"/>
      <x:c r="J181" s="25"/>
      <x:c r="K181" s="26" t="n">
        <x:v>48</x:v>
      </x:c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 t="n">
        <x:v>48</x:v>
      </x:c>
    </x:row>
    <x:row r="182">
      <x:c r="A182" s="22" t="str">
        <x:v>February</x:v>
      </x:c>
      <x:c r="B182" s="23" t="n">
        <x:v>44976</x:v>
      </x:c>
      <x:c r="C182" s="23" t="n">
        <x:v>44976</x:v>
      </x:c>
      <x:c r="D182" s="22" t="str">
        <x:v>MFE: Iowa City</x:v>
      </x:c>
      <x:c r="E182" s="22" t="str">
        <x:v>Day Camp</x:v>
      </x:c>
      <x:c r="F182" s="22" t="str"/>
      <x:c r="G182" s="22" t="str"/>
      <x:c r="H182" s="24" t="n">
        <x:v>3</x:v>
      </x:c>
      <x:c r="I182" s="24" t="n">
        <x:v>2</x:v>
      </x:c>
      <x:c r="J182" s="25" t="n">
        <x:v>2</x:v>
      </x:c>
      <x:c r="K182" s="26" t="n">
        <x:v>5</x:v>
      </x:c>
      <x:c r="L182" s="26"/>
      <x:c r="M182" s="26"/>
      <x:c r="N182" s="26" t="n">
        <x:v>17</x:v>
      </x:c>
      <x:c r="O182" s="26"/>
      <x:c r="P182" s="26"/>
      <x:c r="Q182" s="26" t="n">
        <x:v>7</x:v>
      </x:c>
      <x:c r="R182" s="26"/>
      <x:c r="S182" s="26"/>
      <x:c r="T182" s="26"/>
      <x:c r="U182" s="26"/>
      <x:c r="V182" s="26" t="n">
        <x:v>29</x:v>
      </x:c>
    </x:row>
    <x:row r="183">
      <x:c r="A183" s="22" t="str">
        <x:v>March</x:v>
      </x:c>
      <x:c r="B183" s="23" t="n">
        <x:v>44992</x:v>
      </x:c>
      <x:c r="C183" s="23" t="n">
        <x:v>44992</x:v>
      </x:c>
      <x:c r="D183" s="22" t="str">
        <x:v>JCF: Council Bluffs</x:v>
      </x:c>
      <x:c r="E183" s="22" t="str">
        <x:v>Community Outreach, Briefings and Events</x:v>
      </x:c>
      <x:c r="F183" s="22" t="str"/>
      <x:c r="G183" s="22" t="str"/>
      <x:c r="H183" s="24"/>
      <x:c r="I183" s="24"/>
      <x:c r="J183" s="25"/>
      <x:c r="K183" s="26" t="n">
        <x:v>62</x:v>
      </x:c>
      <x:c r="L183" s="26"/>
      <x:c r="M183" s="26" t="n">
        <x:v>26</x:v>
      </x:c>
      <x:c r="N183" s="26"/>
      <x:c r="O183" s="26"/>
      <x:c r="P183" s="26"/>
      <x:c r="Q183" s="26"/>
      <x:c r="R183" s="26"/>
      <x:c r="S183" s="26"/>
      <x:c r="T183" s="26"/>
      <x:c r="U183" s="26"/>
      <x:c r="V183" s="26" t="n">
        <x:v>88</x:v>
      </x:c>
    </x:row>
    <x:row r="184">
      <x:c r="A184" s="22" t="str">
        <x:v>March</x:v>
      </x:c>
      <x:c r="B184" s="23" t="n">
        <x:v>44995</x:v>
      </x:c>
      <x:c r="C184" s="23" t="n">
        <x:v>44997</x:v>
      </x:c>
      <x:c r="D184" s="22" t="str">
        <x:v>STP Retreat</x:v>
      </x:c>
      <x:c r="E184" s="22" t="str">
        <x:v>Teen Council Meeting or Training</x:v>
      </x:c>
      <x:c r="F184" s="22" t="str"/>
      <x:c r="G184" s="22" t="str"/>
      <x:c r="H184" s="24"/>
      <x:c r="I184" s="24"/>
      <x:c r="J184" s="25" t="n">
        <x:v>23</x:v>
      </x:c>
      <x:c r="K184" s="26" t="n">
        <x:v>2</x:v>
      </x:c>
      <x:c r="L184" s="26"/>
      <x:c r="M184" s="26"/>
      <x:c r="N184" s="26"/>
      <x:c r="O184" s="26"/>
      <x:c r="P184" s="26"/>
      <x:c r="Q184" s="26" t="n">
        <x:v>6</x:v>
      </x:c>
      <x:c r="R184" s="26"/>
      <x:c r="S184" s="26"/>
      <x:c r="T184" s="26"/>
      <x:c r="U184" s="26"/>
      <x:c r="V184" s="26" t="n">
        <x:v>8</x:v>
      </x:c>
    </x:row>
    <x:row r="185">
      <x:c r="A185" s="22" t="str">
        <x:v>March</x:v>
      </x:c>
      <x:c r="B185" s="23" t="n">
        <x:v>44997</x:v>
      </x:c>
      <x:c r="C185" s="23" t="n">
        <x:v>44997</x:v>
      </x:c>
      <x:c r="D185" s="22" t="str">
        <x:v>MFE: Sioux City</x:v>
      </x:c>
      <x:c r="E185" s="22" t="str">
        <x:v>Day Camp</x:v>
      </x:c>
      <x:c r="F185" s="22" t="str"/>
      <x:c r="G185" s="22" t="str"/>
      <x:c r="H185" s="24" t="n">
        <x:v>1</x:v>
      </x:c>
      <x:c r="I185" s="24" t="n">
        <x:v>3</x:v>
      </x:c>
      <x:c r="J185" s="25" t="n">
        <x:v>3</x:v>
      </x:c>
      <x:c r="K185" s="26" t="n">
        <x:v>28</x:v>
      </x:c>
      <x:c r="L185" s="26"/>
      <x:c r="M185" s="26"/>
      <x:c r="N185" s="26" t="n">
        <x:v>21</x:v>
      </x:c>
      <x:c r="O185" s="26"/>
      <x:c r="P185" s="26"/>
      <x:c r="Q185" s="26" t="n">
        <x:v>10</x:v>
      </x:c>
      <x:c r="R185" s="26"/>
      <x:c r="S185" s="26"/>
      <x:c r="T185" s="26"/>
      <x:c r="U185" s="26" t="n">
        <x:v>18</x:v>
      </x:c>
      <x:c r="V185" s="26" t="n">
        <x:v>77</x:v>
      </x:c>
    </x:row>
    <x:row r="186">
      <x:c r="A186" s="22" t="str">
        <x:v>March</x:v>
      </x:c>
      <x:c r="B186" s="23" t="n">
        <x:v>45015</x:v>
      </x:c>
      <x:c r="C186" s="23" t="n">
        <x:v>45015</x:v>
      </x:c>
      <x:c r="D186" s="22" t="str">
        <x:v>132nd Wing Family Unit Event</x:v>
      </x:c>
      <x:c r="E186" s="22" t="str">
        <x:v>Family Days and Military Appreciation Events</x:v>
      </x:c>
      <x:c r="F186" s="22" t="str"/>
      <x:c r="G186" s="22" t="str"/>
      <x:c r="H186" s="24" t="n">
        <x:v>1</x:v>
      </x:c>
      <x:c r="I186" s="24" t="n">
        <x:v>3</x:v>
      </x:c>
      <x:c r="J186" s="25" t="n">
        <x:v>3</x:v>
      </x:c>
      <x:c r="K186" s="26"/>
      <x:c r="L186" s="26"/>
      <x:c r="M186" s="26"/>
      <x:c r="N186" s="26"/>
      <x:c r="O186" s="26" t="n">
        <x:v>57</x:v>
      </x:c>
      <x:c r="P186" s="26"/>
      <x:c r="Q186" s="26" t="n">
        <x:v>65</x:v>
      </x:c>
      <x:c r="R186" s="26" t="n">
        <x:v>11</x:v>
      </x:c>
      <x:c r="S186" s="26"/>
      <x:c r="T186" s="26"/>
      <x:c r="U186" s="26" t="n">
        <x:v>14</x:v>
      </x:c>
      <x:c r="V186" s="26" t="n">
        <x:v>147</x:v>
      </x:c>
    </x:row>
    <x:row r="187">
      <x:c r="A187" s="22" t="str">
        <x:v>April</x:v>
      </x:c>
      <x:c r="B187" s="23" t="n">
        <x:v>45021</x:v>
      </x:c>
      <x:c r="C187" s="23" t="n">
        <x:v>45021</x:v>
      </x:c>
      <x:c r="D187" s="22" t="str">
        <x:v>MOMC Paint Night</x:v>
      </x:c>
      <x:c r="E187" s="22" t="str">
        <x:v>MOMC Event</x:v>
      </x:c>
      <x:c r="F187" s="22" t="str"/>
      <x:c r="G187" s="22" t="str"/>
      <x:c r="H187" s="24"/>
      <x:c r="I187" s="24"/>
      <x:c r="J187" s="25" t="n">
        <x:v>2</x:v>
      </x:c>
      <x:c r="K187" s="26" t="n">
        <x:v>8</x:v>
      </x:c>
      <x:c r="L187" s="26"/>
      <x:c r="M187" s="26"/>
      <x:c r="N187" s="26" t="n">
        <x:v>23</x:v>
      </x:c>
      <x:c r="O187" s="26"/>
      <x:c r="P187" s="26"/>
      <x:c r="Q187" s="26"/>
      <x:c r="R187" s="26"/>
      <x:c r="S187" s="26"/>
      <x:c r="T187" s="26"/>
      <x:c r="U187" s="26"/>
      <x:c r="V187" s="26" t="n">
        <x:v>31</x:v>
      </x:c>
    </x:row>
    <x:row r="188">
      <x:c r="A188" s="22" t="str">
        <x:v>April</x:v>
      </x:c>
      <x:c r="B188" s="23" t="n">
        <x:v>45022</x:v>
      </x:c>
      <x:c r="C188" s="23" t="n">
        <x:v>45022</x:v>
      </x:c>
      <x:c r="D188" s="22" t="str">
        <x:v>JCF Des Moines</x:v>
      </x:c>
      <x:c r="E188" s="22" t="str">
        <x:v>Command/Unit/FRG Briefings</x:v>
      </x:c>
      <x:c r="F188" s="22" t="str"/>
      <x:c r="G188" s="22" t="str"/>
      <x:c r="H188" s="24"/>
      <x:c r="I188" s="24"/>
      <x:c r="J188" s="25"/>
      <x:c r="K188" s="26" t="n">
        <x:v>21</x:v>
      </x:c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 t="n">
        <x:v>21</x:v>
      </x:c>
    </x:row>
    <x:row r="189">
      <x:c r="A189" s="22" t="str">
        <x:v>April</x:v>
      </x:c>
      <x:c r="B189" s="23" t="n">
        <x:v>45031</x:v>
      </x:c>
      <x:c r="C189" s="23" t="n">
        <x:v>45031</x:v>
      </x:c>
      <x:c r="D189" s="22" t="str">
        <x:v>Volunteer Ceremony</x:v>
      </x:c>
      <x:c r="E189" s="22" t="str">
        <x:v>Command/Unit/FRG Briefings</x:v>
      </x:c>
      <x:c r="F189" s="22" t="str"/>
      <x:c r="G189" s="22" t="str"/>
      <x:c r="H189" s="24"/>
      <x:c r="I189" s="24"/>
      <x:c r="J189" s="25" t="n">
        <x:v>0</x:v>
      </x:c>
      <x:c r="K189" s="26" t="n">
        <x:v>52</x:v>
      </x:c>
      <x:c r="L189" s="26"/>
      <x:c r="M189" s="26"/>
      <x:c r="N189" s="26" t="n">
        <x:v>3</x:v>
      </x:c>
      <x:c r="O189" s="26"/>
      <x:c r="P189" s="26"/>
      <x:c r="Q189" s="26" t="n">
        <x:v>1</x:v>
      </x:c>
      <x:c r="R189" s="26"/>
      <x:c r="S189" s="26"/>
      <x:c r="T189" s="26"/>
      <x:c r="U189" s="26"/>
      <x:c r="V189" s="26" t="n">
        <x:v>56</x:v>
      </x:c>
    </x:row>
    <x:row r="190">
      <x:c r="A190" s="22" t="str">
        <x:v>April</x:v>
      </x:c>
      <x:c r="B190" s="23" t="n">
        <x:v>45041</x:v>
      </x:c>
      <x:c r="C190" s="23" t="n">
        <x:v>45041</x:v>
      </x:c>
      <x:c r="D190" s="22" t="str">
        <x:v>USO Teen Game Night</x:v>
      </x:c>
      <x:c r="E190" s="22" t="str">
        <x:v>MOMC Event</x:v>
      </x:c>
      <x:c r="F190" s="22" t="str"/>
      <x:c r="G190" s="22" t="str"/>
      <x:c r="H190" s="24"/>
      <x:c r="I190" s="24"/>
      <x:c r="J190" s="25" t="n">
        <x:v>3</x:v>
      </x:c>
      <x:c r="K190" s="26"/>
      <x:c r="L190" s="26"/>
      <x:c r="M190" s="26"/>
      <x:c r="N190" s="26"/>
      <x:c r="O190" s="26"/>
      <x:c r="P190" s="26"/>
      <x:c r="Q190" s="26" t="n">
        <x:v>18</x:v>
      </x:c>
      <x:c r="R190" s="26"/>
      <x:c r="S190" s="26"/>
      <x:c r="T190" s="26"/>
      <x:c r="U190" s="26"/>
      <x:c r="V190" s="26" t="n">
        <x:v>18</x:v>
      </x:c>
    </x:row>
    <x:row r="191">
      <x:c r="A191" s="22" t="str">
        <x:v>April</x:v>
      </x:c>
      <x:c r="B191" s="23" t="n">
        <x:v>45045</x:v>
      </x:c>
      <x:c r="C191" s="23" t="n">
        <x:v>45045</x:v>
      </x:c>
      <x:c r="D191" s="22" t="str">
        <x:v>Military Family Ball</x:v>
      </x:c>
      <x:c r="E191" s="22" t="str">
        <x:v>MOMC Event</x:v>
      </x:c>
      <x:c r="F191" s="22" t="str"/>
      <x:c r="G191" s="22" t="str"/>
      <x:c r="H191" s="24" t="n">
        <x:v>14</x:v>
      </x:c>
      <x:c r="I191" s="24" t="n">
        <x:v>8</x:v>
      </x:c>
      <x:c r="J191" s="25" t="n">
        <x:v>3</x:v>
      </x:c>
      <x:c r="K191" s="26" t="n">
        <x:v>46</x:v>
      </x:c>
      <x:c r="L191" s="26"/>
      <x:c r="M191" s="26"/>
      <x:c r="N191" s="26" t="n">
        <x:v>41</x:v>
      </x:c>
      <x:c r="O191" s="26"/>
      <x:c r="P191" s="26"/>
      <x:c r="Q191" s="26" t="n">
        <x:v>7</x:v>
      </x:c>
      <x:c r="R191" s="26"/>
      <x:c r="S191" s="26"/>
      <x:c r="T191" s="26"/>
      <x:c r="U191" s="26" t="n">
        <x:v>10</x:v>
      </x:c>
      <x:c r="V191" s="26" t="n">
        <x:v>104</x:v>
      </x:c>
    </x:row>
    <x:row r="192">
      <x:c r="A192" s="22" t="str">
        <x:v>April</x:v>
      </x:c>
      <x:c r="B192" s="23" t="n">
        <x:v>45045</x:v>
      </x:c>
      <x:c r="C192" s="23" t="n">
        <x:v>45045</x:v>
      </x:c>
      <x:c r="D192" s="22" t="str">
        <x:v>Volunteer Training</x:v>
      </x:c>
      <x:c r="E192" s="22" t="str">
        <x:v>Volunteer Training</x:v>
      </x:c>
      <x:c r="F192" s="22" t="str"/>
      <x:c r="G192" s="22" t="str"/>
      <x:c r="H192" s="24"/>
      <x:c r="I192" s="24"/>
      <x:c r="J192" s="25" t="n">
        <x:v>2</x:v>
      </x:c>
      <x:c r="K192" s="26"/>
      <x:c r="L192" s="26" t="n">
        <x:v>12</x:v>
      </x:c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 t="n">
        <x:v>12</x:v>
      </x:c>
    </x:row>
    <x:row r="193">
      <x:c r="A193" s="22" t="str">
        <x:v>April</x:v>
      </x:c>
      <x:c r="B193" s="23" t="n">
        <x:v>45045</x:v>
      </x:c>
      <x:c r="C193" s="23" t="n">
        <x:v>45046</x:v>
      </x:c>
      <x:c r="D193" s="22" t="str">
        <x:v>State Teen Panel</x:v>
      </x:c>
      <x:c r="E193" s="22" t="str">
        <x:v>Teen Council Meeting or Training</x:v>
      </x:c>
      <x:c r="F193" s="22" t="str"/>
      <x:c r="G193" s="22" t="str"/>
      <x:c r="H193" s="24"/>
      <x:c r="I193" s="24"/>
      <x:c r="J193" s="25" t="n">
        <x:v>16</x:v>
      </x:c>
      <x:c r="K193" s="26"/>
      <x:c r="L193" s="26"/>
      <x:c r="M193" s="26"/>
      <x:c r="N193" s="26"/>
      <x:c r="O193" s="26"/>
      <x:c r="P193" s="26"/>
      <x:c r="Q193" s="26" t="n">
        <x:v>7</x:v>
      </x:c>
      <x:c r="R193" s="26"/>
      <x:c r="S193" s="26"/>
      <x:c r="T193" s="26"/>
      <x:c r="U193" s="26"/>
      <x:c r="V193" s="26" t="n">
        <x:v>7</x:v>
      </x:c>
    </x:row>
    <x:row r="194">
      <x:c r="A194" s="22" t="str">
        <x:v>May</x:v>
      </x:c>
      <x:c r="B194" s="23" t="n">
        <x:v>45051</x:v>
      </x:c>
      <x:c r="C194" s="23" t="n">
        <x:v>45051</x:v>
      </x:c>
      <x:c r="D194" s="22" t="str">
        <x:v>Boone Military Day</x:v>
      </x:c>
      <x:c r="E194" s="22" t="str">
        <x:v>Family Days and Military Appreciation Events</x:v>
      </x:c>
      <x:c r="F194" s="22" t="str"/>
      <x:c r="G194" s="22" t="str"/>
      <x:c r="H194" s="24"/>
      <x:c r="I194" s="24"/>
      <x:c r="J194" s="25" t="n">
        <x:v>1</x:v>
      </x:c>
      <x:c r="K194" s="26" t="n">
        <x:v>25</x:v>
      </x:c>
      <x:c r="L194" s="26"/>
      <x:c r="M194" s="26"/>
      <x:c r="N194" s="26" t="n">
        <x:v>6</x:v>
      </x:c>
      <x:c r="O194" s="26"/>
      <x:c r="P194" s="26"/>
      <x:c r="Q194" s="26"/>
      <x:c r="R194" s="26"/>
      <x:c r="S194" s="26"/>
      <x:c r="T194" s="26" t="n">
        <x:v>120</x:v>
      </x:c>
      <x:c r="U194" s="26"/>
      <x:c r="V194" s="26" t="n">
        <x:v>151</x:v>
      </x:c>
    </x:row>
    <x:row r="195">
      <x:c r="A195" s="22" t="str">
        <x:v>May</x:v>
      </x:c>
      <x:c r="B195" s="23" t="n">
        <x:v>45066</x:v>
      </x:c>
      <x:c r="C195" s="23" t="n">
        <x:v>45066</x:v>
      </x:c>
      <x:c r="D195" s="22" t="str">
        <x:v>MFE: Des Moines</x:v>
      </x:c>
      <x:c r="E195" s="22" t="str">
        <x:v>Day Camp</x:v>
      </x:c>
      <x:c r="F195" s="22" t="str"/>
      <x:c r="G195" s="22" t="str"/>
      <x:c r="H195" s="24" t="n">
        <x:v>0</x:v>
      </x:c>
      <x:c r="I195" s="24" t="n">
        <x:v>0</x:v>
      </x:c>
      <x:c r="J195" s="25" t="n">
        <x:v>2</x:v>
      </x:c>
      <x:c r="K195" s="26" t="n">
        <x:v>34</x:v>
      </x:c>
      <x:c r="L195" s="26"/>
      <x:c r="M195" s="26"/>
      <x:c r="N195" s="26" t="n">
        <x:v>55</x:v>
      </x:c>
      <x:c r="O195" s="26"/>
      <x:c r="P195" s="26"/>
      <x:c r="Q195" s="26" t="n">
        <x:v>6</x:v>
      </x:c>
      <x:c r="R195" s="26"/>
      <x:c r="S195" s="26"/>
      <x:c r="T195" s="26"/>
      <x:c r="U195" s="26" t="n">
        <x:v>16</x:v>
      </x:c>
      <x:c r="V195" s="26" t="n">
        <x:v>111</x:v>
      </x:c>
    </x:row>
    <x:row r="196">
      <x:c r="A196" s="22" t="str">
        <x:v>June</x:v>
      </x:c>
      <x:c r="B196" s="23" t="n">
        <x:v>45078</x:v>
      </x:c>
      <x:c r="C196" s="23" t="n">
        <x:v>45078</x:v>
      </x:c>
      <x:c r="D196" s="22" t="str">
        <x:v>Summer Concert Series 1</x:v>
      </x:c>
      <x:c r="E196" s="22" t="str">
        <x:v>Family Days and Military Appreciation Events</x:v>
      </x:c>
      <x:c r="F196" s="22" t="str"/>
      <x:c r="G196" s="22" t="str"/>
      <x:c r="H196" s="24"/>
      <x:c r="I196" s="24"/>
      <x:c r="J196" s="25" t="n">
        <x:v>2</x:v>
      </x:c>
      <x:c r="K196" s="26" t="n">
        <x:v>120</x:v>
      </x:c>
      <x:c r="L196" s="26"/>
      <x:c r="M196" s="26"/>
      <x:c r="N196" s="26" t="n">
        <x:v>8</x:v>
      </x:c>
      <x:c r="O196" s="26"/>
      <x:c r="P196" s="26"/>
      <x:c r="Q196" s="26"/>
      <x:c r="R196" s="26"/>
      <x:c r="S196" s="26"/>
      <x:c r="T196" s="26"/>
      <x:c r="U196" s="26"/>
      <x:c r="V196" s="26" t="n">
        <x:v>128</x:v>
      </x:c>
    </x:row>
    <x:row r="197">
      <x:c r="A197" s="22" t="str">
        <x:v>June</x:v>
      </x:c>
      <x:c r="B197" s="23" t="n">
        <x:v>45085</x:v>
      </x:c>
      <x:c r="C197" s="23" t="n">
        <x:v>45085</x:v>
      </x:c>
      <x:c r="D197" s="22" t="str">
        <x:v>Concert Series 2</x:v>
      </x:c>
      <x:c r="E197" s="22" t="str">
        <x:v>Family Days and Military Appreciation Events</x:v>
      </x:c>
      <x:c r="F197" s="22" t="str"/>
      <x:c r="G197" s="22" t="str"/>
      <x:c r="H197" s="24" t="n">
        <x:v>1</x:v>
      </x:c>
      <x:c r="I197" s="24" t="n">
        <x:v>3</x:v>
      </x:c>
      <x:c r="J197" s="25" t="n">
        <x:v>3</x:v>
      </x:c>
      <x:c r="K197" s="26"/>
      <x:c r="L197" s="26"/>
      <x:c r="M197" s="26"/>
      <x:c r="N197" s="26" t="n">
        <x:v>31</x:v>
      </x:c>
      <x:c r="O197" s="26"/>
      <x:c r="P197" s="26"/>
      <x:c r="Q197" s="26" t="n">
        <x:v>7</x:v>
      </x:c>
      <x:c r="R197" s="26"/>
      <x:c r="S197" s="26"/>
      <x:c r="T197" s="26"/>
      <x:c r="U197" s="26"/>
      <x:c r="V197" s="26" t="n">
        <x:v>38</x:v>
      </x:c>
    </x:row>
    <x:row r="198">
      <x:c r="A198" s="22" t="str">
        <x:v>June</x:v>
      </x:c>
      <x:c r="B198" s="23" t="n">
        <x:v>45087</x:v>
      </x:c>
      <x:c r="C198" s="23" t="n">
        <x:v>45087</x:v>
      </x:c>
      <x:c r="D198" s="22" t="str">
        <x:v>Yellow Ribbon</x:v>
      </x:c>
      <x:c r="E198" s="22" t="str">
        <x:v>Yellow Ribbon Briefing and Programming</x:v>
      </x:c>
      <x:c r="F198" s="22" t="str"/>
      <x:c r="G198" s="22" t="str"/>
      <x:c r="H198" s="24"/>
      <x:c r="I198" s="24"/>
      <x:c r="J198" s="25"/>
      <x:c r="K198" s="26" t="n">
        <x:v>18</x:v>
      </x:c>
      <x:c r="L198" s="26"/>
      <x:c r="M198" s="26"/>
      <x:c r="N198" s="26" t="n">
        <x:v>3</x:v>
      </x:c>
      <x:c r="O198" s="26"/>
      <x:c r="P198" s="26"/>
      <x:c r="Q198" s="26" t="n">
        <x:v>1</x:v>
      </x:c>
      <x:c r="R198" s="26"/>
      <x:c r="S198" s="26"/>
      <x:c r="T198" s="26"/>
      <x:c r="U198" s="26" t="n">
        <x:v>3</x:v>
      </x:c>
      <x:c r="V198" s="26" t="n">
        <x:v>25</x:v>
      </x:c>
    </x:row>
    <x:row r="199">
      <x:c r="A199" s="22" t="str">
        <x:v>June</x:v>
      </x:c>
      <x:c r="B199" s="23" t="n">
        <x:v>45101</x:v>
      </x:c>
      <x:c r="C199" s="23" t="n">
        <x:v>45101</x:v>
      </x:c>
      <x:c r="D199" s="22" t="str">
        <x:v>MFE: Waterloo</x:v>
      </x:c>
      <x:c r="E199" s="22" t="str">
        <x:v>Day Camp</x:v>
      </x:c>
      <x:c r="F199" s="22" t="str"/>
      <x:c r="G199" s="22" t="str"/>
      <x:c r="H199" s="24" t="n">
        <x:v>2</x:v>
      </x:c>
      <x:c r="I199" s="24" t="n">
        <x:v>6</x:v>
      </x:c>
      <x:c r="J199" s="25" t="n">
        <x:v>6</x:v>
      </x:c>
      <x:c r="K199" s="26" t="n">
        <x:v>36</x:v>
      </x:c>
      <x:c r="L199" s="26"/>
      <x:c r="M199" s="26"/>
      <x:c r="N199" s="26" t="n">
        <x:v>32</x:v>
      </x:c>
      <x:c r="O199" s="26"/>
      <x:c r="P199" s="26"/>
      <x:c r="Q199" s="26" t="n">
        <x:v>6</x:v>
      </x:c>
      <x:c r="R199" s="26"/>
      <x:c r="S199" s="26"/>
      <x:c r="T199" s="26"/>
      <x:c r="U199" s="26"/>
      <x:c r="V199" s="26" t="n">
        <x:v>74</x:v>
      </x:c>
    </x:row>
    <x:row r="200">
      <x:c r="A200" s="22" t="str">
        <x:v>July</x:v>
      </x:c>
      <x:c r="B200" s="23" t="n">
        <x:v>45113</x:v>
      </x:c>
      <x:c r="C200" s="23" t="n">
        <x:v>45113</x:v>
      </x:c>
      <x:c r="D200" s="22" t="str">
        <x:v>Summer Concert Series</x:v>
      </x:c>
      <x:c r="E200" s="22" t="str">
        <x:v>Family Days and Military Appreciation Events</x:v>
      </x:c>
      <x:c r="F200" s="22" t="str"/>
      <x:c r="G200" s="22" t="str"/>
      <x:c r="H200" s="24" t="n">
        <x:v>1</x:v>
      </x:c>
      <x:c r="I200" s="24" t="n">
        <x:v>3</x:v>
      </x:c>
      <x:c r="J200" s="25" t="n">
        <x:v>3</x:v>
      </x:c>
      <x:c r="K200" s="26"/>
      <x:c r="L200" s="26"/>
      <x:c r="M200" s="26"/>
      <x:c r="N200" s="26" t="n">
        <x:v>29</x:v>
      </x:c>
      <x:c r="O200" s="26"/>
      <x:c r="P200" s="26"/>
      <x:c r="Q200" s="26" t="n">
        <x:v>5</x:v>
      </x:c>
      <x:c r="R200" s="26"/>
      <x:c r="S200" s="26"/>
      <x:c r="T200" s="26"/>
      <x:c r="U200" s="26"/>
      <x:c r="V200" s="26" t="n">
        <x:v>34</x:v>
      </x:c>
    </x:row>
    <x:row r="201">
      <x:c r="A201" s="22" t="str">
        <x:v>July</x:v>
      </x:c>
      <x:c r="B201" s="23" t="n">
        <x:v>45130</x:v>
      </x:c>
      <x:c r="C201" s="23" t="n">
        <x:v>45134</x:v>
      </x:c>
      <x:c r="D201" s="22" t="str">
        <x:v>Youth Symposium</x:v>
      </x:c>
      <x:c r="E201" s="22" t="str">
        <x:v>Youth Symposium</x:v>
      </x:c>
      <x:c r="F201" s="22" t="str"/>
      <x:c r="G201" s="22" t="str"/>
      <x:c r="H201" s="24" t="n">
        <x:v>18</x:v>
      </x:c>
      <x:c r="I201" s="24" t="n">
        <x:v>96</x:v>
      </x:c>
      <x:c r="J201" s="25" t="n">
        <x:v>96</x:v>
      </x:c>
      <x:c r="K201" s="26"/>
      <x:c r="L201" s="26"/>
      <x:c r="M201" s="26"/>
      <x:c r="N201" s="26" t="n">
        <x:v>67</x:v>
      </x:c>
      <x:c r="O201" s="26"/>
      <x:c r="P201" s="26"/>
      <x:c r="Q201" s="26" t="n">
        <x:v>18</x:v>
      </x:c>
      <x:c r="R201" s="26"/>
      <x:c r="S201" s="26"/>
      <x:c r="T201" s="26"/>
      <x:c r="U201" s="26"/>
      <x:c r="V201" s="26" t="n">
        <x:v>85</x:v>
      </x:c>
    </x:row>
    <x:row r="202">
      <x:c r="A202" s="22" t="str">
        <x:v>July</x:v>
      </x:c>
      <x:c r="B202" s="23" t="n">
        <x:v>45130</x:v>
      </x:c>
      <x:c r="C202" s="23" t="n">
        <x:v>45130</x:v>
      </x:c>
      <x:c r="D202" s="22" t="str">
        <x:v>Volunteer Training</x:v>
      </x:c>
      <x:c r="E202" s="22" t="str">
        <x:v>Volunteer Training</x:v>
      </x:c>
      <x:c r="F202" s="22" t="str"/>
      <x:c r="G202" s="22" t="str"/>
      <x:c r="H202" s="24"/>
      <x:c r="I202" s="24"/>
      <x:c r="J202" s="25" t="n">
        <x:v>1</x:v>
      </x:c>
      <x:c r="K202" s="26" t="n">
        <x:v>3</x:v>
      </x:c>
      <x:c r="L202" s="26"/>
      <x:c r="M202" s="26" t="n">
        <x:v>15</x:v>
      </x:c>
      <x:c r="N202" s="26"/>
      <x:c r="O202" s="26"/>
      <x:c r="P202" s="26"/>
      <x:c r="Q202" s="26"/>
      <x:c r="R202" s="26"/>
      <x:c r="S202" s="26"/>
      <x:c r="T202" s="26"/>
      <x:c r="U202" s="26"/>
      <x:c r="V202" s="26" t="n">
        <x:v>18</x:v>
      </x:c>
    </x:row>
    <x:row r="203">
      <x:c r="A203" s="22" t="str">
        <x:v>August</x:v>
      </x:c>
      <x:c r="B203" s="23" t="n">
        <x:v>45143</x:v>
      </x:c>
      <x:c r="C203" s="23" t="n">
        <x:v>45143</x:v>
      </x:c>
      <x:c r="D203" s="22" t="str">
        <x:v>Yellow Ribbon</x:v>
      </x:c>
      <x:c r="E203" s="22" t="str">
        <x:v>Yellow Ribbon Briefing and Programming</x:v>
      </x:c>
      <x:c r="F203" s="22" t="str"/>
      <x:c r="G203" s="22" t="str"/>
      <x:c r="H203" s="24" t="n">
        <x:v>1</x:v>
      </x:c>
      <x:c r="I203" s="24" t="n">
        <x:v>8</x:v>
      </x:c>
      <x:c r="J203" s="25" t="n">
        <x:v>8</x:v>
      </x:c>
      <x:c r="K203" s="26" t="n">
        <x:v>120</x:v>
      </x:c>
      <x:c r="L203" s="26"/>
      <x:c r="M203" s="26"/>
      <x:c r="N203" s="26" t="n">
        <x:v>8</x:v>
      </x:c>
      <x:c r="O203" s="26"/>
      <x:c r="P203" s="26"/>
      <x:c r="Q203" s="26" t="n">
        <x:v>3</x:v>
      </x:c>
      <x:c r="R203" s="26"/>
      <x:c r="S203" s="26"/>
      <x:c r="T203" s="26"/>
      <x:c r="U203" s="26" t="n">
        <x:v>8</x:v>
      </x:c>
      <x:c r="V203" s="26" t="n">
        <x:v>139</x:v>
      </x:c>
    </x:row>
    <x:row r="204">
      <x:c r="A204" s="22" t="str">
        <x:v>August</x:v>
      </x:c>
      <x:c r="B204" s="23" t="n">
        <x:v>45149</x:v>
      </x:c>
      <x:c r="C204" s="23" t="n">
        <x:v>45149</x:v>
      </x:c>
      <x:c r="D204" s="22" t="str">
        <x:v>INGOAUX Pool Party</x:v>
      </x:c>
      <x:c r="E204" s="22" t="str">
        <x:v>Family Days and Military Appreciation Events</x:v>
      </x:c>
      <x:c r="F204" s="22" t="str"/>
      <x:c r="G204" s="22" t="str"/>
      <x:c r="H204" s="24" t="n">
        <x:v>3</x:v>
      </x:c>
      <x:c r="I204" s="24" t="n">
        <x:v>3</x:v>
      </x:c>
      <x:c r="J204" s="25" t="n">
        <x:v>3</x:v>
      </x:c>
      <x:c r="K204" s="26" t="n">
        <x:v>130</x:v>
      </x:c>
      <x:c r="L204" s="26"/>
      <x:c r="M204" s="26"/>
      <x:c r="N204" s="26" t="n">
        <x:v>114</x:v>
      </x:c>
      <x:c r="O204" s="26"/>
      <x:c r="P204" s="26"/>
      <x:c r="Q204" s="26" t="n">
        <x:v>21</x:v>
      </x:c>
      <x:c r="R204" s="26"/>
      <x:c r="S204" s="26"/>
      <x:c r="T204" s="26"/>
      <x:c r="U204" s="26" t="n">
        <x:v>27</x:v>
      </x:c>
      <x:c r="V204" s="26" t="n">
        <x:v>292</x:v>
      </x:c>
    </x:row>
    <x:row r="205">
      <x:c r="A205" s="22" t="str">
        <x:v>August</x:v>
      </x:c>
      <x:c r="B205" s="23" t="n">
        <x:v>45157</x:v>
      </x:c>
      <x:c r="C205" s="23" t="n">
        <x:v>45157</x:v>
      </x:c>
      <x:c r="D205" s="22" t="str">
        <x:v>SOS Muster</x:v>
      </x:c>
      <x:c r="E205" s="22" t="str">
        <x:v>Gold Star Training/Event</x:v>
      </x:c>
      <x:c r="F205" s="22" t="str"/>
      <x:c r="G205" s="22" t="str"/>
      <x:c r="H205" s="24" t="n">
        <x:v>1</x:v>
      </x:c>
      <x:c r="I205" s="24" t="n">
        <x:v>2</x:v>
      </x:c>
      <x:c r="J205" s="25" t="n">
        <x:v>8</x:v>
      </x:c>
      <x:c r="K205" s="26" t="n">
        <x:v>80</x:v>
      </x:c>
      <x:c r="L205" s="26"/>
      <x:c r="M205" s="26"/>
      <x:c r="N205" s="26" t="n">
        <x:v>11</x:v>
      </x:c>
      <x:c r="O205" s="26"/>
      <x:c r="P205" s="26"/>
      <x:c r="Q205" s="26" t="n">
        <x:v>4</x:v>
      </x:c>
      <x:c r="R205" s="26"/>
      <x:c r="S205" s="26"/>
      <x:c r="T205" s="26"/>
      <x:c r="U205" s="26" t="n">
        <x:v>6</x:v>
      </x:c>
      <x:c r="V205" s="26" t="n">
        <x:v>101</x:v>
      </x:c>
    </x:row>
    <x:row r="206">
      <x:c r="A206" s="22" t="str">
        <x:v>September</x:v>
      </x:c>
      <x:c r="B206" s="23" t="n">
        <x:v>45177</x:v>
      </x:c>
      <x:c r="C206" s="23" t="n">
        <x:v>45177</x:v>
      </x:c>
      <x:c r="D206" s="22" t="str">
        <x:v>1034 CSSB Pre YR</x:v>
      </x:c>
      <x:c r="E206" s="22" t="str">
        <x:v>Yellow Ribbon Briefing and Programming</x:v>
      </x:c>
      <x:c r="F206" s="22" t="str"/>
      <x:c r="G206" s="22" t="str"/>
      <x:c r="H206" s="24" t="n">
        <x:v>1</x:v>
      </x:c>
      <x:c r="I206" s="24" t="n">
        <x:v>8</x:v>
      </x:c>
      <x:c r="J206" s="25" t="n">
        <x:v>8</x:v>
      </x:c>
      <x:c r="K206" s="26" t="n">
        <x:v>180</x:v>
      </x:c>
      <x:c r="L206" s="26"/>
      <x:c r="M206" s="26"/>
      <x:c r="N206" s="26" t="n">
        <x:v>9</x:v>
      </x:c>
      <x:c r="O206" s="26"/>
      <x:c r="P206" s="26"/>
      <x:c r="Q206" s="26"/>
      <x:c r="R206" s="26"/>
      <x:c r="S206" s="26"/>
      <x:c r="T206" s="26"/>
      <x:c r="U206" s="26" t="n">
        <x:v>3</x:v>
      </x:c>
      <x:c r="V206" s="26" t="n">
        <x:v>192</x:v>
      </x:c>
    </x:row>
    <x:row r="207">
      <x:c r="A207" s="22" t="str">
        <x:v>September</x:v>
      </x:c>
      <x:c r="B207" s="23" t="n">
        <x:v>45178</x:v>
      </x:c>
      <x:c r="C207" s="23" t="n">
        <x:v>45178</x:v>
      </x:c>
      <x:c r="D207" s="22" t="str">
        <x:v>209th Post YR</x:v>
      </x:c>
      <x:c r="E207" s="22" t="str">
        <x:v>Yellow Ribbon Briefing and Programming</x:v>
      </x:c>
      <x:c r="F207" s="22" t="str"/>
      <x:c r="G207" s="22" t="str"/>
      <x:c r="H207" s="24"/>
      <x:c r="I207" s="24"/>
      <x:c r="J207" s="25"/>
      <x:c r="K207" s="26" t="n">
        <x:v>220</x:v>
      </x:c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 t="n">
        <x:v>220</x:v>
      </x:c>
    </x:row>
    <x:row r="208">
      <x:c r="A208" s="22" t="str">
        <x:v>September</x:v>
      </x:c>
      <x:c r="B208" s="23" t="n">
        <x:v>45185</x:v>
      </x:c>
      <x:c r="C208" s="23" t="n">
        <x:v>44820</x:v>
      </x:c>
      <x:c r="D208" s="22" t="str">
        <x:v>Unit Family Day</x:v>
      </x:c>
      <x:c r="E208" s="22" t="str">
        <x:v>Family Days and Military Appreciation Events</x:v>
      </x:c>
      <x:c r="F208" s="22" t="str"/>
      <x:c r="G208" s="22" t="str"/>
      <x:c r="H208" s="24" t="n">
        <x:v>1</x:v>
      </x:c>
      <x:c r="I208" s="24" t="n">
        <x:v>2</x:v>
      </x:c>
      <x:c r="J208" s="25" t="n">
        <x:v>2</x:v>
      </x:c>
      <x:c r="K208" s="26" t="n">
        <x:v>80</x:v>
      </x:c>
      <x:c r="L208" s="26"/>
      <x:c r="M208" s="26"/>
      <x:c r="N208" s="26" t="n">
        <x:v>18</x:v>
      </x:c>
      <x:c r="O208" s="26"/>
      <x:c r="P208" s="26"/>
      <x:c r="Q208" s="26" t="n">
        <x:v>4</x:v>
      </x:c>
      <x:c r="R208" s="26"/>
      <x:c r="S208" s="26"/>
      <x:c r="T208" s="26"/>
      <x:c r="U208" s="26" t="n">
        <x:v>12</x:v>
      </x:c>
      <x:c r="V208" s="26" t="n">
        <x:v>114</x:v>
      </x:c>
    </x:row>
    <x:row r="209">
      <x:c r="A209" s="22" t="str">
        <x:v>September</x:v>
      </x:c>
      <x:c r="B209" s="23" t="n">
        <x:v>45186</x:v>
      </x:c>
      <x:c r="C209" s="23" t="n">
        <x:v>45186</x:v>
      </x:c>
      <x:c r="D209" s="22" t="str">
        <x:v>185th CSSB Soldier/Family Picnic</x:v>
      </x:c>
      <x:c r="E209" s="22" t="str">
        <x:v>Family Days and Military Appreciation Events</x:v>
      </x:c>
      <x:c r="F209" s="22" t="str"/>
      <x:c r="G209" s="22" t="str"/>
      <x:c r="H209" s="24" t="n">
        <x:v>1</x:v>
      </x:c>
      <x:c r="I209" s="24" t="n">
        <x:v>2</x:v>
      </x:c>
      <x:c r="J209" s="25" t="n">
        <x:v>2</x:v>
      </x:c>
      <x:c r="K209" s="26" t="n">
        <x:v>120</x:v>
      </x:c>
      <x:c r="L209" s="26"/>
      <x:c r="M209" s="26"/>
      <x:c r="N209" s="26" t="n">
        <x:v>36</x:v>
      </x:c>
      <x:c r="O209" s="26"/>
      <x:c r="P209" s="26"/>
      <x:c r="Q209" s="26"/>
      <x:c r="R209" s="26"/>
      <x:c r="S209" s="26"/>
      <x:c r="T209" s="26"/>
      <x:c r="U209" s="26" t="n">
        <x:v>12</x:v>
      </x:c>
      <x:c r="V209" s="26" t="n">
        <x:v>168</x:v>
      </x:c>
    </x:row>
    <x:row r="210">
      <x:c r="A210" s="22" t="str">
        <x:v>September</x:v>
      </x:c>
      <x:c r="B210" s="23" t="n">
        <x:v>45193</x:v>
      </x:c>
      <x:c r="C210" s="23" t="n">
        <x:v>45193</x:v>
      </x:c>
      <x:c r="D210" s="22" t="str">
        <x:v>MFE: Council Bluffs</x:v>
      </x:c>
      <x:c r="E210" s="22" t="str">
        <x:v>Day Camp</x:v>
      </x:c>
      <x:c r="F210" s="22" t="str"/>
      <x:c r="G210" s="22" t="str"/>
      <x:c r="H210" s="24" t="n">
        <x:v>1</x:v>
      </x:c>
      <x:c r="I210" s="24" t="n">
        <x:v>3</x:v>
      </x:c>
      <x:c r="J210" s="25" t="n">
        <x:v>3</x:v>
      </x:c>
      <x:c r="K210" s="26" t="n">
        <x:v>21</x:v>
      </x:c>
      <x:c r="L210" s="26"/>
      <x:c r="M210" s="26"/>
      <x:c r="N210" s="26" t="n">
        <x:v>19</x:v>
      </x:c>
      <x:c r="O210" s="26"/>
      <x:c r="P210" s="26"/>
      <x:c r="Q210" s="26" t="n">
        <x:v>3</x:v>
      </x:c>
      <x:c r="R210" s="26"/>
      <x:c r="S210" s="26"/>
      <x:c r="T210" s="26"/>
      <x:c r="U210" s="26" t="n">
        <x:v>3</x:v>
      </x:c>
      <x:c r="V210" s="26" t="n">
        <x:v>46</x:v>
      </x:c>
    </x:row>
    <x:row r="211">
      <x:c r="A211" s="22" t="str">
        <x:v>October</x:v>
      </x:c>
      <x:c r="B211" s="23" t="n">
        <x:v>45213</x:v>
      </x:c>
      <x:c r="C211" s="23" t="n">
        <x:v>45213</x:v>
      </x:c>
      <x:c r="D211" s="22" t="str">
        <x:v>Fall Family Festival</x:v>
      </x:c>
      <x:c r="E211" s="22" t="str">
        <x:v>Day Camp</x:v>
      </x:c>
      <x:c r="F211" s="22" t="str"/>
      <x:c r="G211" s="22" t="str"/>
      <x:c r="H211" s="24" t="n">
        <x:v>43</x:v>
      </x:c>
      <x:c r="I211" s="24" t="n">
        <x:v>5</x:v>
      </x:c>
      <x:c r="J211" s="25" t="n">
        <x:v>2</x:v>
      </x:c>
      <x:c r="K211" s="26" t="n">
        <x:v>132</x:v>
      </x:c>
      <x:c r="L211" s="26"/>
      <x:c r="M211" s="26"/>
      <x:c r="N211" s="26" t="n">
        <x:v>28</x:v>
      </x:c>
      <x:c r="O211" s="26"/>
      <x:c r="P211" s="26"/>
      <x:c r="Q211" s="26" t="n">
        <x:v>87</x:v>
      </x:c>
      <x:c r="R211" s="26"/>
      <x:c r="S211" s="26"/>
      <x:c r="T211" s="26"/>
      <x:c r="U211" s="26" t="n">
        <x:v>51</x:v>
      </x:c>
      <x:c r="V211" s="26" t="n">
        <x:v>298</x:v>
      </x:c>
    </x:row>
    <x:row r="212">
      <x:c r="A212" s="22" t="str">
        <x:v>October</x:v>
      </x:c>
      <x:c r="B212" s="23" t="n">
        <x:v>45213</x:v>
      </x:c>
      <x:c r="C212" s="23" t="n">
        <x:v>45213</x:v>
      </x:c>
      <x:c r="D212" s="22" t="str">
        <x:v>STP Summit</x:v>
      </x:c>
      <x:c r="E212" s="22" t="str">
        <x:v>Teen Council Meeting or Training</x:v>
      </x:c>
      <x:c r="F212" s="22" t="str"/>
      <x:c r="G212" s="22" t="str"/>
      <x:c r="H212" s="24"/>
      <x:c r="I212" s="24"/>
      <x:c r="J212" s="25" t="n">
        <x:v>5</x:v>
      </x:c>
      <x:c r="K212" s="26"/>
      <x:c r="L212" s="26"/>
      <x:c r="M212" s="26"/>
      <x:c r="N212" s="26"/>
      <x:c r="O212" s="26"/>
      <x:c r="P212" s="26"/>
      <x:c r="Q212" s="26" t="n">
        <x:v>3</x:v>
      </x:c>
      <x:c r="R212" s="26"/>
      <x:c r="S212" s="26"/>
      <x:c r="T212" s="26"/>
      <x:c r="U212" s="26"/>
      <x:c r="V212" s="26" t="n">
        <x:v>3</x:v>
      </x:c>
    </x:row>
    <x:row r="213">
      <x:c r="A213" s="22" t="str">
        <x:v>October</x:v>
      </x:c>
      <x:c r="B213" s="23" t="n">
        <x:v>45213</x:v>
      </x:c>
      <x:c r="C213" s="23" t="n">
        <x:v>45213</x:v>
      </x:c>
      <x:c r="D213" s="22" t="str">
        <x:v>Volunteer Training</x:v>
      </x:c>
      <x:c r="E213" s="22" t="str">
        <x:v>Volunteer Training</x:v>
      </x:c>
      <x:c r="F213" s="22" t="str"/>
      <x:c r="G213" s="22" t="str"/>
      <x:c r="H213" s="24" t="n">
        <x:v>21</x:v>
      </x:c>
      <x:c r="I213" s="24"/>
      <x:c r="J213" s="25" t="n">
        <x:v>1</x:v>
      </x:c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 t="n">
        <x:v>0</x:v>
      </x:c>
    </x:row>
    <x:row r="214">
      <x:c r="A214" s="22" t="str">
        <x:v>December</x:v>
      </x:c>
      <x:c r="B214" s="23" t="n">
        <x:v>45261</x:v>
      </x:c>
      <x:c r="C214" s="23" t="n">
        <x:v>45261</x:v>
      </x:c>
      <x:c r="D214" s="22" t="str">
        <x:v>132d Air Holiday Party</x:v>
      </x:c>
      <x:c r="E214" s="22" t="str">
        <x:v>Family Days and Military Appreciation Events</x:v>
      </x:c>
      <x:c r="F214" s="22" t="str"/>
      <x:c r="G214" s="22" t="str"/>
      <x:c r="H214" s="24" t="n">
        <x:v>1</x:v>
      </x:c>
      <x:c r="I214" s="24" t="n">
        <x:v>3</x:v>
      </x:c>
      <x:c r="J214" s="25" t="n">
        <x:v>3</x:v>
      </x:c>
      <x:c r="K214" s="26" t="n">
        <x:v>50</x:v>
      </x:c>
      <x:c r="L214" s="26"/>
      <x:c r="M214" s="26"/>
      <x:c r="N214" s="26" t="n">
        <x:v>35</x:v>
      </x:c>
      <x:c r="O214" s="26"/>
      <x:c r="P214" s="26"/>
      <x:c r="Q214" s="26" t="n">
        <x:v>25</x:v>
      </x:c>
      <x:c r="R214" s="26"/>
      <x:c r="S214" s="26"/>
      <x:c r="T214" s="26"/>
      <x:c r="U214" s="26" t="n">
        <x:v>15</x:v>
      </x:c>
      <x:c r="V214" s="26" t="n">
        <x:v>125</x:v>
      </x:c>
    </x:row>
    <x:row r="215">
      <x:c r="A215" s="22" t="str">
        <x:v>December</x:v>
      </x:c>
      <x:c r="B215" s="23" t="n">
        <x:v>45262</x:v>
      </x:c>
      <x:c r="C215" s="23" t="n">
        <x:v>45262</x:v>
      </x:c>
      <x:c r="D215" s="22" t="str">
        <x:v>Army Holiday Party</x:v>
      </x:c>
      <x:c r="E215" s="22" t="str">
        <x:v>Family Days and Military Appreciation Events</x:v>
      </x:c>
      <x:c r="F215" s="22" t="str"/>
      <x:c r="G215" s="22" t="str"/>
      <x:c r="H215" s="24" t="n">
        <x:v>1</x:v>
      </x:c>
      <x:c r="I215" s="24" t="n">
        <x:v>3</x:v>
      </x:c>
      <x:c r="J215" s="25" t="n">
        <x:v>3</x:v>
      </x:c>
      <x:c r="K215" s="26" t="n">
        <x:v>100</x:v>
      </x:c>
      <x:c r="L215" s="26"/>
      <x:c r="M215" s="26"/>
      <x:c r="N215" s="26" t="n">
        <x:v>22</x:v>
      </x:c>
      <x:c r="O215" s="26"/>
      <x:c r="P215" s="26"/>
      <x:c r="Q215" s="26"/>
      <x:c r="R215" s="26"/>
      <x:c r="S215" s="26"/>
      <x:c r="T215" s="26"/>
      <x:c r="U215" s="26" t="n">
        <x:v>8</x:v>
      </x:c>
      <x:c r="V215" s="26" t="n">
        <x:v>130</x:v>
      </x:c>
    </x:row>
    <x:row r="216">
      <x:c r="A216" s="22" t="str">
        <x:v>December</x:v>
      </x:c>
      <x:c r="B216" s="23" t="n">
        <x:v>45262</x:v>
      </x:c>
      <x:c r="C216" s="23" t="n">
        <x:v>45262</x:v>
      </x:c>
      <x:c r="D216" s="22" t="str">
        <x:v>Yellow Ribbon</x:v>
      </x:c>
      <x:c r="E216" s="22" t="str">
        <x:v>Yellow Ribbon Briefing and Programming</x:v>
      </x:c>
      <x:c r="F216" s="22" t="str"/>
      <x:c r="G216" s="22" t="str"/>
      <x:c r="H216" s="24"/>
      <x:c r="I216" s="24"/>
      <x:c r="J216" s="25" t="n">
        <x:v>8</x:v>
      </x:c>
      <x:c r="K216" s="26"/>
      <x:c r="L216" s="26"/>
      <x:c r="M216" s="26"/>
      <x:c r="N216" s="26" t="n">
        <x:v>4</x:v>
      </x:c>
      <x:c r="O216" s="26"/>
      <x:c r="P216" s="26"/>
      <x:c r="Q216" s="26"/>
      <x:c r="R216" s="26"/>
      <x:c r="S216" s="26"/>
      <x:c r="T216" s="26"/>
      <x:c r="U216" s="26"/>
      <x:c r="V216" s="26" t="n">
        <x:v>4</x:v>
      </x:c>
    </x:row>
    <x:row r="217">
      <x:c r="A217" s="22" t="str">
        <x:v>December</x:v>
      </x:c>
      <x:c r="B217" s="23" t="n">
        <x:v>45269</x:v>
      </x:c>
      <x:c r="C217" s="23" t="n">
        <x:v>45269</x:v>
      </x:c>
      <x:c r="D217" s="22" t="str">
        <x:v>Cookies w/ Santa</x:v>
      </x:c>
      <x:c r="E217" s="22" t="str">
        <x:v>Day Camp</x:v>
      </x:c>
      <x:c r="F217" s="22" t="str"/>
      <x:c r="G217" s="22" t="str"/>
      <x:c r="H217" s="24" t="n">
        <x:v>19</x:v>
      </x:c>
      <x:c r="I217" s="24" t="n">
        <x:v>3</x:v>
      </x:c>
      <x:c r="J217" s="25" t="n">
        <x:v>2</x:v>
      </x:c>
      <x:c r="K217" s="26" t="n">
        <x:v>67</x:v>
      </x:c>
      <x:c r="L217" s="26"/>
      <x:c r="M217" s="26"/>
      <x:c r="N217" s="26" t="n">
        <x:v>54</x:v>
      </x:c>
      <x:c r="O217" s="26"/>
      <x:c r="P217" s="26"/>
      <x:c r="Q217" s="26" t="n">
        <x:v>16</x:v>
      </x:c>
      <x:c r="R217" s="26"/>
      <x:c r="S217" s="26"/>
      <x:c r="T217" s="26"/>
      <x:c r="U217" s="26" t="n">
        <x:v>14</x:v>
      </x:c>
      <x:c r="V217" s="26" t="n">
        <x:v>151</x:v>
      </x:c>
    </x:row>
    <x:row r="218">
      <x:c r="A218" s="22" t="str">
        <x:v>December</x:v>
      </x:c>
      <x:c r="B218" s="23" t="n">
        <x:v>45269</x:v>
      </x:c>
      <x:c r="C218" s="23" t="n">
        <x:v>45269</x:v>
      </x:c>
      <x:c r="D218" s="22" t="str">
        <x:v>Volunteer Training</x:v>
      </x:c>
      <x:c r="E218" s="22" t="str">
        <x:v>Volunteer Training</x:v>
      </x:c>
      <x:c r="F218" s="22" t="str"/>
      <x:c r="G218" s="22" t="str"/>
      <x:c r="H218" s="24" t="n">
        <x:v>19</x:v>
      </x:c>
      <x:c r="I218" s="24"/>
      <x:c r="J218" s="25" t="n">
        <x:v>1</x:v>
      </x:c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 t="n">
        <x:v>0</x:v>
      </x:c>
    </x:row>
    <x:row r="219">
      <x:c r="A219" s="22" t="str">
        <x:v>December</x:v>
      </x:c>
      <x:c r="B219" s="23" t="n">
        <x:v>45269</x:v>
      </x:c>
      <x:c r="C219" s="23" t="n">
        <x:v>45270</x:v>
      </x:c>
      <x:c r="D219" s="22" t="str">
        <x:v>State Teen Panel</x:v>
      </x:c>
      <x:c r="E219" s="22" t="str">
        <x:v>Teen Council Meeting or Training</x:v>
      </x:c>
      <x:c r="F219" s="22" t="str"/>
      <x:c r="G219" s="22" t="str"/>
      <x:c r="H219" s="24" t="n">
        <x:v>1</x:v>
      </x:c>
      <x:c r="I219" s="24" t="n">
        <x:v>3</x:v>
      </x:c>
      <x:c r="J219" s="25" t="n">
        <x:v>16</x:v>
      </x:c>
      <x:c r="K219" s="26"/>
      <x:c r="L219" s="26"/>
      <x:c r="M219" s="26"/>
      <x:c r="N219" s="26"/>
      <x:c r="O219" s="26"/>
      <x:c r="P219" s="26"/>
      <x:c r="Q219" s="26" t="n">
        <x:v>14</x:v>
      </x:c>
      <x:c r="R219" s="26"/>
      <x:c r="S219" s="26"/>
      <x:c r="T219" s="26"/>
      <x:c r="U219" s="26"/>
      <x:c r="V219" s="26" t="n">
        <x:v>14</x:v>
      </x:c>
    </x:row>
    <x:row r="220">
      <x:c r="A220" s="22" t="str">
        <x:v>January</x:v>
      </x:c>
      <x:c r="B220" s="23" t="n">
        <x:v>45319</x:v>
      </x:c>
      <x:c r="C220" s="23" t="str"/>
      <x:c r="D220" s="22" t="str">
        <x:v>MFE: Davenport </x:v>
      </x:c>
      <x:c r="E220" s="22" t="str">
        <x:v>Day Camp</x:v>
      </x:c>
      <x:c r="F220" s="22" t="str"/>
      <x:c r="G220" s="22" t="str"/>
      <x:c r="H220" s="24"/>
      <x:c r="I220" s="24"/>
      <x:c r="J220" s="25"/>
      <x:c r="K220" s="26" t="n">
        <x:v>14</x:v>
      </x:c>
      <x:c r="L220" s="26"/>
      <x:c r="M220" s="26"/>
      <x:c r="N220" s="26" t="n">
        <x:v>11</x:v>
      </x:c>
      <x:c r="O220" s="26"/>
      <x:c r="P220" s="26"/>
      <x:c r="Q220" s="26" t="n">
        <x:v>11</x:v>
      </x:c>
      <x:c r="R220" s="26"/>
      <x:c r="S220" s="26"/>
      <x:c r="T220" s="26"/>
      <x:c r="U220" s="26"/>
      <x:c r="V220" s="26" t="n">
        <x:v>36</x:v>
      </x:c>
    </x:row>
    <x:row r="221">
      <x:c r="A221" s="22" t="str">
        <x:v>February</x:v>
      </x:c>
      <x:c r="B221" s="23" t="n">
        <x:v>45329</x:v>
      </x:c>
      <x:c r="C221" s="23" t="n">
        <x:v>45329</x:v>
      </x:c>
      <x:c r="D221" s="22" t="str">
        <x:v>JCF: Boone</x:v>
      </x:c>
      <x:c r="E221" s="22" t="str">
        <x:v>Community Outreach, Briefings and Events</x:v>
      </x:c>
      <x:c r="F221" s="22" t="str"/>
      <x:c r="G221" s="22" t="str"/>
      <x:c r="H221" s="24"/>
      <x:c r="I221" s="24"/>
      <x:c r="J221" s="25"/>
      <x:c r="K221" s="26" t="n">
        <x:v>54</x:v>
      </x:c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 t="n">
        <x:v>54</x:v>
      </x:c>
    </x:row>
    <x:row r="222">
      <x:c r="A222" s="22" t="str">
        <x:v>February</x:v>
      </x:c>
      <x:c r="B222" s="23" t="n">
        <x:v>45339</x:v>
      </x:c>
      <x:c r="C222" s="23" t="n">
        <x:v>45339</x:v>
      </x:c>
      <x:c r="D222" s="22" t="str">
        <x:v>MFE: Iowa City</x:v>
      </x:c>
      <x:c r="E222" s="22" t="str">
        <x:v>Day Camp</x:v>
      </x:c>
      <x:c r="F222" s="22" t="str"/>
      <x:c r="G222" s="22" t="str"/>
      <x:c r="H222" s="24" t="n">
        <x:v>1</x:v>
      </x:c>
      <x:c r="I222" s="24" t="n">
        <x:v>2</x:v>
      </x:c>
      <x:c r="J222" s="25" t="n">
        <x:v>2</x:v>
      </x:c>
      <x:c r="K222" s="26" t="n">
        <x:v>21</x:v>
      </x:c>
      <x:c r="L222" s="26"/>
      <x:c r="M222" s="26"/>
      <x:c r="N222" s="26" t="n">
        <x:v>30</x:v>
      </x:c>
      <x:c r="O222" s="26"/>
      <x:c r="P222" s="26"/>
      <x:c r="Q222" s="26" t="n">
        <x:v>6</x:v>
      </x:c>
      <x:c r="R222" s="26"/>
      <x:c r="S222" s="26"/>
      <x:c r="T222" s="26"/>
      <x:c r="U222" s="26"/>
      <x:c r="V222" s="26" t="n">
        <x:v>57</x:v>
      </x:c>
    </x:row>
    <x:row r="223">
      <x:c r="A223" s="22" t="str">
        <x:v>March</x:v>
      </x:c>
      <x:c r="B223" s="23" t="n">
        <x:v>45355</x:v>
      </x:c>
      <x:c r="C223" s="23" t="n">
        <x:v>45355</x:v>
      </x:c>
      <x:c r="D223" s="22" t="str">
        <x:v>Volunteer Training</x:v>
      </x:c>
      <x:c r="E223" s="22" t="str">
        <x:v>Volunteer Training</x:v>
      </x:c>
      <x:c r="F223" s="22" t="str"/>
      <x:c r="G223" s="22" t="str"/>
      <x:c r="H223" s="24"/>
      <x:c r="I223" s="24"/>
      <x:c r="J223" s="25" t="n">
        <x:v>1</x:v>
      </x:c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 t="n">
        <x:v>2</x:v>
      </x:c>
      <x:c r="U223" s="26"/>
      <x:c r="V223" s="26" t="n">
        <x:v>2</x:v>
      </x:c>
    </x:row>
    <x:row r="224">
      <x:c r="A224" s="22" t="str">
        <x:v>March</x:v>
      </x:c>
      <x:c r="B224" s="23" t="n">
        <x:v>45359</x:v>
      </x:c>
      <x:c r="C224" s="23" t="n">
        <x:v>45361</x:v>
      </x:c>
      <x:c r="D224" s="22" t="str">
        <x:v>STP Retreat</x:v>
      </x:c>
      <x:c r="E224" s="22" t="str">
        <x:v>Teen Council Meeting or Training</x:v>
      </x:c>
      <x:c r="F224" s="22" t="str"/>
      <x:c r="G224" s="22" t="str"/>
      <x:c r="H224" s="24" t="n">
        <x:v>2</x:v>
      </x:c>
      <x:c r="I224" s="24" t="n">
        <x:v>9.5</x:v>
      </x:c>
      <x:c r="J224" s="25" t="n">
        <x:v>20.5</x:v>
      </x:c>
      <x:c r="K224" s="26"/>
      <x:c r="L224" s="26"/>
      <x:c r="M224" s="26"/>
      <x:c r="N224" s="26"/>
      <x:c r="O224" s="26"/>
      <x:c r="P224" s="26"/>
      <x:c r="Q224" s="26" t="n">
        <x:v>11</x:v>
      </x:c>
      <x:c r="R224" s="26"/>
      <x:c r="S224" s="26"/>
      <x:c r="T224" s="26"/>
      <x:c r="U224" s="26"/>
      <x:c r="V224" s="26" t="n">
        <x:v>11</x:v>
      </x:c>
    </x:row>
    <x:row r="225">
      <x:c r="A225" s="22" t="str">
        <x:v>March</x:v>
      </x:c>
      <x:c r="B225" s="23" t="n">
        <x:v>45365</x:v>
      </x:c>
      <x:c r="C225" s="23" t="n">
        <x:v>45365</x:v>
      </x:c>
      <x:c r="D225" s="22" t="str">
        <x:v>Volunteer Training</x:v>
      </x:c>
      <x:c r="E225" s="22" t="str">
        <x:v>Volunteer Training</x:v>
      </x:c>
      <x:c r="F225" s="22" t="str"/>
      <x:c r="G225" s="22" t="str"/>
      <x:c r="H225" s="24"/>
      <x:c r="I225" s="24"/>
      <x:c r="J225" s="25" t="n">
        <x:v>1</x:v>
      </x:c>
      <x:c r="K225" s="26" t="n">
        <x:v>2</x:v>
      </x:c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 t="n">
        <x:v>2</x:v>
      </x:c>
    </x:row>
    <x:row r="226">
      <x:c r="A226" s="22" t="str">
        <x:v>April</x:v>
      </x:c>
      <x:c r="B226" s="23" t="n">
        <x:v>45394</x:v>
      </x:c>
      <x:c r="C226" s="23" t="n">
        <x:v>45394</x:v>
      </x:c>
      <x:c r="D226" s="22" t="str">
        <x:v>MOMC Classroom Events</x:v>
      </x:c>
      <x:c r="E226" s="22" t="str">
        <x:v>MOMC</x:v>
      </x:c>
      <x:c r="F226" s="22" t="str"/>
      <x:c r="G226" s="22" t="str"/>
      <x:c r="H226" s="24" t="n">
        <x:v>7</x:v>
      </x:c>
      <x:c r="I226" s="24" t="n">
        <x:v>5</x:v>
      </x:c>
      <x:c r="J226" s="25"/>
      <x:c r="K226" s="26"/>
      <x:c r="L226" s="26"/>
      <x:c r="M226" s="26"/>
      <x:c r="N226" s="26" t="n">
        <x:v>63</x:v>
      </x:c>
      <x:c r="O226" s="26"/>
      <x:c r="P226" s="26"/>
      <x:c r="Q226" s="26" t="n">
        <x:v>10</x:v>
      </x:c>
      <x:c r="R226" s="26"/>
      <x:c r="S226" s="26"/>
      <x:c r="T226" s="26"/>
      <x:c r="U226" s="26" t="n">
        <x:v>7</x:v>
      </x:c>
      <x:c r="V226" s="26" t="n">
        <x:v>80</x:v>
      </x:c>
    </x:row>
    <x:row r="227">
      <x:c r="A227" s="22" t="str">
        <x:v>April</x:v>
      </x:c>
      <x:c r="B227" s="23" t="n">
        <x:v>45396</x:v>
      </x:c>
      <x:c r="C227" s="23" t="n">
        <x:v>45396</x:v>
      </x:c>
      <x:c r="D227" s="22" t="str">
        <x:v>MFE: Sioux City</x:v>
      </x:c>
      <x:c r="E227" s="22" t="str">
        <x:v>MOMC</x:v>
      </x:c>
      <x:c r="F227" s="22" t="str"/>
      <x:c r="G227" s="22" t="str"/>
      <x:c r="H227" s="24" t="n">
        <x:v>1</x:v>
      </x:c>
      <x:c r="I227" s="24" t="n">
        <x:v>2</x:v>
      </x:c>
      <x:c r="J227" s="25" t="n">
        <x:v>3</x:v>
      </x:c>
      <x:c r="K227" s="26" t="n">
        <x:v>15</x:v>
      </x:c>
      <x:c r="L227" s="26"/>
      <x:c r="M227" s="26"/>
      <x:c r="N227" s="26" t="n">
        <x:v>22</x:v>
      </x:c>
      <x:c r="O227" s="26"/>
      <x:c r="P227" s="26"/>
      <x:c r="Q227" s="26" t="n">
        <x:v>6</x:v>
      </x:c>
      <x:c r="R227" s="26"/>
      <x:c r="S227" s="26"/>
      <x:c r="T227" s="26"/>
      <x:c r="U227" s="26" t="n">
        <x:v>5</x:v>
      </x:c>
      <x:c r="V227" s="26" t="n">
        <x:v>48</x:v>
      </x:c>
    </x:row>
    <x:row r="228">
      <x:c r="A228" s="22" t="str">
        <x:v>April</x:v>
      </x:c>
      <x:c r="B228" s="23" t="n">
        <x:v>45400</x:v>
      </x:c>
      <x:c r="C228" s="23" t="n">
        <x:v>45400</x:v>
      </x:c>
      <x:c r="D228" s="22" t="str">
        <x:v>Proclamation </x:v>
      </x:c>
      <x:c r="E228" s="22" t="str">
        <x:v>MOMC</x:v>
      </x:c>
      <x:c r="F228" s="22" t="str"/>
      <x:c r="G228" s="22" t="str"/>
      <x:c r="H228" s="24"/>
      <x:c r="I228" s="24"/>
      <x:c r="J228" s="25" t="n">
        <x:v>1.5</x:v>
      </x:c>
      <x:c r="K228" s="26" t="n">
        <x:v>22</x:v>
      </x:c>
      <x:c r="L228" s="26"/>
      <x:c r="M228" s="26"/>
      <x:c r="N228" s="26" t="n">
        <x:v>9</x:v>
      </x:c>
      <x:c r="O228" s="26"/>
      <x:c r="P228" s="26"/>
      <x:c r="Q228" s="26" t="n">
        <x:v>9</x:v>
      </x:c>
      <x:c r="R228" s="26"/>
      <x:c r="S228" s="26"/>
      <x:c r="T228" s="26"/>
      <x:c r="U228" s="26" t="n">
        <x:v>8</x:v>
      </x:c>
      <x:c r="V228" s="26" t="n">
        <x:v>48</x:v>
      </x:c>
    </x:row>
    <x:row r="229">
      <x:c r="A229" s="22" t="str">
        <x:v>April</x:v>
      </x:c>
      <x:c r="B229" s="23" t="n">
        <x:v>45409</x:v>
      </x:c>
      <x:c r="C229" s="23" t="n">
        <x:v>45409</x:v>
      </x:c>
      <x:c r="D229" s="22" t="str">
        <x:v>STP Summit</x:v>
      </x:c>
      <x:c r="E229" s="22" t="str">
        <x:v>Teen Council Meeting or Training</x:v>
      </x:c>
      <x:c r="F229" s="22" t="str"/>
      <x:c r="G229" s="22" t="str"/>
      <x:c r="H229" s="24" t="n">
        <x:v>3</x:v>
      </x:c>
      <x:c r="I229" s="24" t="n">
        <x:v>10</x:v>
      </x:c>
      <x:c r="J229" s="25" t="n">
        <x:v>10</x:v>
      </x:c>
      <x:c r="K229" s="26" t="n">
        <x:v>2</x:v>
      </x:c>
      <x:c r="L229" s="26"/>
      <x:c r="M229" s="26"/>
      <x:c r="N229" s="26"/>
      <x:c r="O229" s="26"/>
      <x:c r="P229" s="26"/>
      <x:c r="Q229" s="26" t="n">
        <x:v>8</x:v>
      </x:c>
      <x:c r="R229" s="26"/>
      <x:c r="S229" s="26"/>
      <x:c r="T229" s="26"/>
      <x:c r="U229" s="26"/>
      <x:c r="V229" s="26" t="n">
        <x:v>10</x:v>
      </x:c>
    </x:row>
    <x:row r="230">
      <x:c r="A230" s="22" t="str">
        <x:v>April</x:v>
      </x:c>
      <x:c r="B230" s="23" t="n">
        <x:v>45409</x:v>
      </x:c>
      <x:c r="C230" s="23" t="n">
        <x:v>45409</x:v>
      </x:c>
      <x:c r="D230" s="22" t="str"/>
      <x:c r="E230" s="22" t="str">
        <x:v>MOMC</x:v>
      </x:c>
      <x:c r="F230" s="22" t="str"/>
      <x:c r="G230" s="22" t="str"/>
      <x:c r="H230" s="24" t="n">
        <x:v>29</x:v>
      </x:c>
      <x:c r="I230" s="24" t="n">
        <x:v>4.5</x:v>
      </x:c>
      <x:c r="J230" s="25" t="n">
        <x:v>3</x:v>
      </x:c>
      <x:c r="K230" s="26" t="n">
        <x:v>42</x:v>
      </x:c>
      <x:c r="L230" s="26"/>
      <x:c r="M230" s="26"/>
      <x:c r="N230" s="26" t="n">
        <x:v>26</x:v>
      </x:c>
      <x:c r="O230" s="26"/>
      <x:c r="P230" s="26"/>
      <x:c r="Q230" s="26" t="n">
        <x:v>19</x:v>
      </x:c>
      <x:c r="R230" s="26"/>
      <x:c r="S230" s="26"/>
      <x:c r="T230" s="26"/>
      <x:c r="U230" s="26" t="n">
        <x:v>6</x:v>
      </x:c>
      <x:c r="V230" s="26" t="n">
        <x:v>93</x:v>
      </x:c>
    </x:row>
    <x:row r="231">
      <x:c r="A231" s="22" t="str">
        <x:v>April</x:v>
      </x:c>
      <x:c r="B231" s="23" t="n">
        <x:v>45409</x:v>
      </x:c>
      <x:c r="C231" s="23" t="n">
        <x:v>45409</x:v>
      </x:c>
      <x:c r="D231" s="22" t="str">
        <x:v>Volunteer Training </x:v>
      </x:c>
      <x:c r="E231" s="22" t="str">
        <x:v>Volunteer Training</x:v>
      </x:c>
      <x:c r="F231" s="22" t="str"/>
      <x:c r="G231" s="22" t="str"/>
      <x:c r="H231" s="24" t="n">
        <x:v>29</x:v>
      </x:c>
      <x:c r="I231" s="24" t="n">
        <x:v>1</x:v>
      </x:c>
      <x:c r="J231" s="25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 t="n">
        <x:v>0</x:v>
      </x:c>
    </x:row>
    <x:row r="232">
      <x:c r="A232" s="22" t="str">
        <x:v>May</x:v>
      </x:c>
      <x:c r="B232" s="23" t="n">
        <x:v>45423</x:v>
      </x:c>
      <x:c r="C232" s="23" t="n">
        <x:v>45423</x:v>
      </x:c>
      <x:c r="D232" s="22" t="str">
        <x:v>YRRP During Oskaloosa</x:v>
      </x:c>
      <x:c r="E232" s="22" t="str">
        <x:v>Yellow Ribbon Briefing and Programming</x:v>
      </x:c>
      <x:c r="F232" s="22" t="str"/>
      <x:c r="G232" s="22" t="str"/>
      <x:c r="H232" s="24"/>
      <x:c r="I232" s="24"/>
      <x:c r="J232" s="25"/>
      <x:c r="K232" s="26" t="n">
        <x:v>30</x:v>
      </x:c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 t="n">
        <x:v>1</x:v>
      </x:c>
      <x:c r="V232" s="26" t="n">
        <x:v>31</x:v>
      </x:c>
    </x:row>
    <x:row r="233">
      <x:c r="A233" s="22" t="str">
        <x:v>May</x:v>
      </x:c>
      <x:c r="B233" s="23" t="n">
        <x:v>45430</x:v>
      </x:c>
      <x:c r="C233" s="23" t="n">
        <x:v>45430</x:v>
      </x:c>
      <x:c r="D233" s="22" t="str">
        <x:v>MFE: Des Moines</x:v>
      </x:c>
      <x:c r="E233" s="22" t="str">
        <x:v>Community Outreach, Briefings and Events</x:v>
      </x:c>
      <x:c r="F233" s="22" t="str"/>
      <x:c r="G233" s="22" t="str"/>
      <x:c r="H233" s="24" t="n">
        <x:v>1</x:v>
      </x:c>
      <x:c r="I233" s="24" t="n">
        <x:v>2</x:v>
      </x:c>
      <x:c r="J233" s="25" t="n">
        <x:v>2</x:v>
      </x:c>
      <x:c r="K233" s="26" t="n">
        <x:v>35</x:v>
      </x:c>
      <x:c r="L233" s="26"/>
      <x:c r="M233" s="26"/>
      <x:c r="N233" s="26" t="n">
        <x:v>20</x:v>
      </x:c>
      <x:c r="O233" s="26"/>
      <x:c r="P233" s="26"/>
      <x:c r="Q233" s="26" t="n">
        <x:v>6</x:v>
      </x:c>
      <x:c r="R233" s="26"/>
      <x:c r="S233" s="26"/>
      <x:c r="T233" s="26"/>
      <x:c r="U233" s="26" t="n">
        <x:v>14</x:v>
      </x:c>
      <x:c r="V233" s="26" t="n">
        <x:v>75</x:v>
      </x:c>
    </x:row>
    <x:row r="234">
      <x:c r="A234" s="22" t="str">
        <x:v>May</x:v>
      </x:c>
      <x:c r="B234" s="23" t="n">
        <x:v>45442</x:v>
      </x:c>
      <x:c r="C234" s="23" t="n">
        <x:v>45442</x:v>
      </x:c>
      <x:c r="D234" s="22" t="str">
        <x:v>TAG Concert Series</x:v>
      </x:c>
      <x:c r="E234" s="22" t="str">
        <x:v>Family Days and Military Appreciation Events</x:v>
      </x:c>
      <x:c r="F234" s="22" t="str"/>
      <x:c r="G234" s="22" t="str"/>
      <x:c r="H234" s="24"/>
      <x:c r="I234" s="24"/>
      <x:c r="J234" s="25"/>
      <x:c r="K234" s="26"/>
      <x:c r="L234" s="26"/>
      <x:c r="M234" s="26"/>
      <x:c r="N234" s="26" t="n">
        <x:v>47</x:v>
      </x:c>
      <x:c r="O234" s="26"/>
      <x:c r="P234" s="26"/>
      <x:c r="Q234" s="26" t="n">
        <x:v>14</x:v>
      </x:c>
      <x:c r="R234" s="26"/>
      <x:c r="S234" s="26"/>
      <x:c r="T234" s="26"/>
      <x:c r="U234" s="26"/>
      <x:c r="V234" s="26" t="n">
        <x:v>61</x:v>
      </x:c>
    </x:row>
    <x:row r="235">
      <x:c r="A235" s="22" t="str">
        <x:v>June</x:v>
      </x:c>
      <x:c r="B235" s="23" t="n">
        <x:v>45451</x:v>
      </x:c>
      <x:c r="C235" s="23" t="n">
        <x:v>45451</x:v>
      </x:c>
      <x:c r="D235" s="22" t="str">
        <x:v>Military Family Event: Waterloo</x:v>
      </x:c>
      <x:c r="E235" s="22" t="str">
        <x:v>Day Camp</x:v>
      </x:c>
      <x:c r="F235" s="22" t="str"/>
      <x:c r="G235" s="22" t="str"/>
      <x:c r="H235" s="24"/>
      <x:c r="I235" s="24"/>
      <x:c r="J235" s="25"/>
      <x:c r="K235" s="26" t="n">
        <x:v>13</x:v>
      </x:c>
      <x:c r="L235" s="26"/>
      <x:c r="M235" s="26"/>
      <x:c r="N235" s="26" t="n">
        <x:v>13</x:v>
      </x:c>
      <x:c r="O235" s="26"/>
      <x:c r="P235" s="26"/>
      <x:c r="Q235" s="26" t="n">
        <x:v>11</x:v>
      </x:c>
      <x:c r="R235" s="26"/>
      <x:c r="S235" s="26"/>
      <x:c r="T235" s="26"/>
      <x:c r="U235" s="26" t="n">
        <x:v>3</x:v>
      </x:c>
      <x:c r="V235" s="26" t="n">
        <x:v>40</x:v>
      </x:c>
    </x:row>
    <x:row r="236">
      <x:c r="A236" s="22" t="str">
        <x:v>June</x:v>
      </x:c>
      <x:c r="B236" s="23" t="n">
        <x:v>45463</x:v>
      </x:c>
      <x:c r="C236" s="23" t="n">
        <x:v>45463</x:v>
      </x:c>
      <x:c r="D236" s="22" t="str">
        <x:v>TAG Concert #3</x:v>
      </x:c>
      <x:c r="E236" s="22" t="str">
        <x:v>Family Days and Military Appreciation Events</x:v>
      </x:c>
      <x:c r="F236" s="22" t="str"/>
      <x:c r="G236" s="22" t="str"/>
      <x:c r="H236" s="24" t="n">
        <x:v>1</x:v>
      </x:c>
      <x:c r="I236" s="24" t="n">
        <x:v>2.5</x:v>
      </x:c>
      <x:c r="J236" s="25" t="n">
        <x:v>2.5</x:v>
      </x:c>
      <x:c r="K236" s="26"/>
      <x:c r="L236" s="26"/>
      <x:c r="M236" s="26"/>
      <x:c r="N236" s="26" t="n">
        <x:v>40</x:v>
      </x:c>
      <x:c r="O236" s="26"/>
      <x:c r="P236" s="26"/>
      <x:c r="Q236" s="26" t="n">
        <x:v>24</x:v>
      </x:c>
      <x:c r="R236" s="26"/>
      <x:c r="S236" s="26"/>
      <x:c r="T236" s="26"/>
      <x:c r="U236" s="26"/>
      <x:c r="V236" s="26" t="n">
        <x:v>64</x:v>
      </x:c>
    </x:row>
    <x:row r="237">
      <x:c r="A237" s="22" t="str">
        <x:v>June</x:v>
      </x:c>
      <x:c r="B237" s="23" t="n">
        <x:v>45468</x:v>
      </x:c>
      <x:c r="C237" s="23" t="n">
        <x:v>45468</x:v>
      </x:c>
      <x:c r="D237" s="22" t="str">
        <x:v>JCF: Waterloo</x:v>
      </x:c>
      <x:c r="E237" s="22" t="str">
        <x:v>Community and Partner Trainings or Meetings</x:v>
      </x:c>
      <x:c r="F237" s="22" t="str"/>
      <x:c r="G237" s="22" t="str"/>
      <x:c r="H237" s="24"/>
      <x:c r="I237" s="24"/>
      <x:c r="J237" s="25"/>
      <x:c r="K237" s="26" t="n">
        <x:v>40</x:v>
      </x:c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 t="n">
        <x:v>40</x:v>
      </x:c>
    </x:row>
    <x:row r="238">
      <x:c r="A238" s="22" t="str">
        <x:v>June</x:v>
      </x:c>
      <x:c r="B238" s="23" t="n">
        <x:v>45470</x:v>
      </x:c>
      <x:c r="C238" s="23" t="n">
        <x:v>45470</x:v>
      </x:c>
      <x:c r="D238" s="22" t="str">
        <x:v>TAG Concert #4</x:v>
      </x:c>
      <x:c r="E238" s="22" t="str">
        <x:v>Family Days and Military Appreciation Events</x:v>
      </x:c>
      <x:c r="F238" s="22" t="str"/>
      <x:c r="G238" s="22" t="str"/>
      <x:c r="H238" s="24"/>
      <x:c r="I238" s="24"/>
      <x:c r="J238" s="25" t="n">
        <x:v>2.5</x:v>
      </x:c>
      <x:c r="K238" s="26"/>
      <x:c r="L238" s="26"/>
      <x:c r="M238" s="26"/>
      <x:c r="N238" s="26" t="n">
        <x:v>43</x:v>
      </x:c>
      <x:c r="O238" s="26"/>
      <x:c r="P238" s="26"/>
      <x:c r="Q238" s="26" t="n">
        <x:v>8</x:v>
      </x:c>
      <x:c r="R238" s="26"/>
      <x:c r="S238" s="26"/>
      <x:c r="T238" s="26"/>
      <x:c r="U238" s="26"/>
      <x:c r="V238" s="26" t="n">
        <x:v>51</x:v>
      </x:c>
    </x:row>
    <x:row r="239">
      <x:c r="A239" s="22" t="str">
        <x:v>July</x:v>
      </x:c>
      <x:c r="B239" s="23" t="n">
        <x:v>45489</x:v>
      </x:c>
      <x:c r="C239" s="23" t="n">
        <x:v>45493</x:v>
      </x:c>
      <x:c r="D239" s="22" t="str">
        <x:v>Regional STP Symposium </x:v>
      </x:c>
      <x:c r="E239" s="22" t="str">
        <x:v>Regional Symposium</x:v>
      </x:c>
      <x:c r="F239" s="22" t="str"/>
      <x:c r="G239" s="22" t="str"/>
      <x:c r="H239" s="24" t="n">
        <x:v>1</x:v>
      </x:c>
      <x:c r="I239" s="24" t="n">
        <x:v>71.75</x:v>
      </x:c>
      <x:c r="J239" s="25" t="n">
        <x:v>71.75</x:v>
      </x:c>
      <x:c r="K239" s="26" t="n">
        <x:v>4</x:v>
      </x:c>
      <x:c r="L239" s="26"/>
      <x:c r="M239" s="26"/>
      <x:c r="N239" s="26"/>
      <x:c r="O239" s="26"/>
      <x:c r="P239" s="26"/>
      <x:c r="Q239" s="26" t="n">
        <x:v>8</x:v>
      </x:c>
      <x:c r="R239" s="26"/>
      <x:c r="S239" s="26"/>
      <x:c r="T239" s="26"/>
      <x:c r="U239" s="26"/>
      <x:c r="V239" s="26" t="n">
        <x:v>12</x:v>
      </x:c>
    </x:row>
    <x:row r="240">
      <x:c r="A240" s="22" t="str">
        <x:v>July</x:v>
      </x:c>
      <x:c r="B240" s="23" t="n">
        <x:v>45493</x:v>
      </x:c>
      <x:c r="C240" s="23" t="n">
        <x:v>45493</x:v>
      </x:c>
      <x:c r="D240" s="22" t="str">
        <x:v>SOS Retreat</x:v>
      </x:c>
      <x:c r="E240" s="22" t="str">
        <x:v>Gold Star Training/Event</x:v>
      </x:c>
      <x:c r="F240" s="22" t="str"/>
      <x:c r="G240" s="22" t="str"/>
      <x:c r="H240" s="24" t="n">
        <x:v>2</x:v>
      </x:c>
      <x:c r="I240" s="24" t="n">
        <x:v>8</x:v>
      </x:c>
      <x:c r="J240" s="25" t="n">
        <x:v>8</x:v>
      </x:c>
      <x:c r="K240" s="26"/>
      <x:c r="L240" s="26"/>
      <x:c r="M240" s="26"/>
      <x:c r="N240" s="26" t="n">
        <x:v>93</x:v>
      </x:c>
      <x:c r="O240" s="26"/>
      <x:c r="P240" s="26"/>
      <x:c r="Q240" s="26" t="n">
        <x:v>20</x:v>
      </x:c>
      <x:c r="R240" s="26"/>
      <x:c r="S240" s="26"/>
      <x:c r="T240" s="26"/>
      <x:c r="U240" s="26"/>
      <x:c r="V240" s="26" t="n">
        <x:v>113</x:v>
      </x:c>
    </x:row>
    <x:row r="241">
      <x:c r="A241" s="22" t="str">
        <x:v>July</x:v>
      </x:c>
      <x:c r="B241" s="23" t="n">
        <x:v>45494</x:v>
      </x:c>
      <x:c r="C241" s="23" t="n">
        <x:v>45500</x:v>
      </x:c>
      <x:c r="D241" s="22" t="str">
        <x:v>Youth Symposium</x:v>
      </x:c>
      <x:c r="E241" s="22" t="str">
        <x:v>Youth Symposium</x:v>
      </x:c>
      <x:c r="F241" s="22" t="str"/>
      <x:c r="G241" s="22" t="str"/>
      <x:c r="H241" s="24" t="n">
        <x:v>22</x:v>
      </x:c>
      <x:c r="I241" s="24" t="n">
        <x:v>96</x:v>
      </x:c>
      <x:c r="J241" s="25" t="n">
        <x:v>96</x:v>
      </x:c>
      <x:c r="K241" s="26"/>
      <x:c r="L241" s="26"/>
      <x:c r="M241" s="26"/>
      <x:c r="N241" s="26" t="n">
        <x:v>34</x:v>
      </x:c>
      <x:c r="O241" s="26"/>
      <x:c r="P241" s="26"/>
      <x:c r="Q241" s="26" t="n">
        <x:v>51</x:v>
      </x:c>
      <x:c r="R241" s="26"/>
      <x:c r="S241" s="26"/>
      <x:c r="T241" s="26"/>
      <x:c r="U241" s="26"/>
      <x:c r="V241" s="26" t="n">
        <x:v>85</x:v>
      </x:c>
    </x:row>
    <x:row r="242">
      <x:c r="A242" s="22" t="str">
        <x:v>July</x:v>
      </x:c>
      <x:c r="B242" s="23" t="n">
        <x:v>45494</x:v>
      </x:c>
      <x:c r="C242" s="23" t="n">
        <x:v>45494</x:v>
      </x:c>
      <x:c r="D242" s="22" t="str">
        <x:v>Volunteer Training</x:v>
      </x:c>
      <x:c r="E242" s="22" t="str">
        <x:v>Volunteer Training</x:v>
      </x:c>
      <x:c r="F242" s="22" t="str"/>
      <x:c r="G242" s="22" t="str"/>
      <x:c r="H242" s="24"/>
      <x:c r="I242" s="24"/>
      <x:c r="J242" s="25" t="n">
        <x:v>2</x:v>
      </x:c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 t="n">
        <x:v>22</x:v>
      </x:c>
      <x:c r="U242" s="26"/>
      <x:c r="V242" s="26" t="n">
        <x:v>22</x:v>
      </x:c>
    </x:row>
    <x:row r="243">
      <x:c r="A243" s="22" t="str">
        <x:v>September</x:v>
      </x:c>
      <x:c r="B243" s="23" t="n">
        <x:v>45543</x:v>
      </x:c>
      <x:c r="C243" s="23" t="n">
        <x:v>45543</x:v>
      </x:c>
      <x:c r="D243" s="22" t="str">
        <x:v>MFE: Council Bluffs</x:v>
      </x:c>
      <x:c r="E243" s="22" t="str">
        <x:v>Community Outreach, Briefings and Events</x:v>
      </x:c>
      <x:c r="F243" s="22" t="str"/>
      <x:c r="G243" s="22" t="str"/>
      <x:c r="H243" s="24" t="n">
        <x:v>0</x:v>
      </x:c>
      <x:c r="I243" s="24" t="n">
        <x:v>0</x:v>
      </x:c>
      <x:c r="J243" s="25" t="n">
        <x:v>2</x:v>
      </x:c>
      <x:c r="K243" s="26" t="n">
        <x:v>5</x:v>
      </x:c>
      <x:c r="L243" s="26"/>
      <x:c r="M243" s="26"/>
      <x:c r="N243" s="26" t="n">
        <x:v>4</x:v>
      </x:c>
      <x:c r="O243" s="26"/>
      <x:c r="P243" s="26"/>
      <x:c r="Q243" s="26"/>
      <x:c r="R243" s="26"/>
      <x:c r="S243" s="26"/>
      <x:c r="T243" s="26"/>
      <x:c r="U243" s="26" t="n">
        <x:v>4</x:v>
      </x:c>
      <x:c r="V243" s="26" t="n">
        <x:v>13</x:v>
      </x:c>
    </x:row>
    <x:row r="244">
      <x:c r="A244" s="22" t="str">
        <x:v>September</x:v>
      </x:c>
      <x:c r="B244" s="23" t="n">
        <x:v>45551</x:v>
      </x:c>
      <x:c r="C244" s="23" t="n">
        <x:v>45553</x:v>
      </x:c>
      <x:c r="D244" s="22" t="str">
        <x:v>STP Interviews</x:v>
      </x:c>
      <x:c r="E244" s="22" t="str">
        <x:v>Teen Council Meeting or Training</x:v>
      </x:c>
      <x:c r="F244" s="22" t="str"/>
      <x:c r="G244" s="22" t="str"/>
      <x:c r="H244" s="24"/>
      <x:c r="I244" s="24"/>
      <x:c r="J244" s="25" t="n">
        <x:v>3.5</x:v>
      </x:c>
      <x:c r="K244" s="26"/>
      <x:c r="L244" s="26"/>
      <x:c r="M244" s="26"/>
      <x:c r="N244" s="26"/>
      <x:c r="O244" s="26"/>
      <x:c r="P244" s="26"/>
      <x:c r="Q244" s="26" t="n">
        <x:v>13</x:v>
      </x:c>
      <x:c r="R244" s="26"/>
      <x:c r="S244" s="26"/>
      <x:c r="T244" s="26"/>
      <x:c r="U244" s="26"/>
      <x:c r="V244" s="26" t="n">
        <x:v>13</x:v>
      </x:c>
    </x:row>
    <x:row r="245">
      <x:c r="A245" s="22" t="str">
        <x:v>September</x:v>
      </x:c>
      <x:c r="B245" s="23" t="n">
        <x:v>45556</x:v>
      </x:c>
      <x:c r="C245" s="23" t="n">
        <x:v>45556</x:v>
      </x:c>
      <x:c r="D245" s="22" t="str">
        <x:v>Yellow Ribbon</x:v>
      </x:c>
      <x:c r="E245" s="22" t="str">
        <x:v>Yellow Ribbon Briefing and Programming</x:v>
      </x:c>
      <x:c r="F245" s="22" t="str"/>
      <x:c r="G245" s="22" t="str"/>
      <x:c r="H245" s="24"/>
      <x:c r="I245" s="24"/>
      <x:c r="J245" s="25"/>
      <x:c r="K245" s="26" t="n">
        <x:v>225</x:v>
      </x:c>
      <x:c r="L245" s="26"/>
      <x:c r="M245" s="26"/>
      <x:c r="N245" s="26" t="n">
        <x:v>3</x:v>
      </x:c>
      <x:c r="O245" s="26"/>
      <x:c r="P245" s="26"/>
      <x:c r="Q245" s="26" t="n">
        <x:v>1</x:v>
      </x:c>
      <x:c r="R245" s="26"/>
      <x:c r="S245" s="26"/>
      <x:c r="T245" s="26"/>
      <x:c r="U245" s="26"/>
      <x:c r="V245" s="26" t="n">
        <x:v>229</x:v>
      </x:c>
    </x:row>
    <x:row r="246">
      <x:c r="A246" s="22" t="str">
        <x:v>September</x:v>
      </x:c>
      <x:c r="B246" s="23" t="n">
        <x:v>45560</x:v>
      </x:c>
      <x:c r="C246" s="23" t="n">
        <x:v>45560</x:v>
      </x:c>
      <x:c r="D246" s="22" t="str">
        <x:v>Davenport Joining Community Forces</x:v>
      </x:c>
      <x:c r="E246" s="22" t="str">
        <x:v>Community Outreach, Briefings and Events</x:v>
      </x:c>
      <x:c r="F246" s="22" t="str"/>
      <x:c r="G246" s="22" t="str"/>
      <x:c r="H246" s="24"/>
      <x:c r="I246" s="24"/>
      <x:c r="J246" s="25" t="n">
        <x:v>0</x:v>
      </x:c>
      <x:c r="K246" s="26" t="n">
        <x:v>20</x:v>
      </x:c>
      <x:c r="L246" s="26"/>
      <x:c r="M246" s="26"/>
      <x:c r="N246" s="26"/>
      <x:c r="O246" s="26"/>
      <x:c r="P246" s="26"/>
      <x:c r="Q246" s="26"/>
      <x:c r="R246" s="26"/>
      <x:c r="S246" s="26"/>
      <x:c r="T246" s="26" t="n">
        <x:v>30</x:v>
      </x:c>
      <x:c r="U246" s="26"/>
      <x:c r="V246" s="26" t="n">
        <x:v>50</x:v>
      </x:c>
    </x:row>
    <x:row r="247">
      <x:c r="A247" s="22" t="str">
        <x:v>October</x:v>
      </x:c>
      <x:c r="B247" s="23" t="n">
        <x:v>45577</x:v>
      </x:c>
      <x:c r="C247" s="23" t="n">
        <x:v>45577</x:v>
      </x:c>
      <x:c r="D247" s="22" t="str">
        <x:v>Fall Family Festival </x:v>
      </x:c>
      <x:c r="E247" s="22" t="str">
        <x:v>Community Outreach, Briefings and Events</x:v>
      </x:c>
      <x:c r="F247" s="22" t="str"/>
      <x:c r="G247" s="22" t="str"/>
      <x:c r="H247" s="24" t="n">
        <x:v>64</x:v>
      </x:c>
      <x:c r="I247" s="24" t="n">
        <x:v>5</x:v>
      </x:c>
      <x:c r="J247" s="25" t="n">
        <x:v>2</x:v>
      </x:c>
      <x:c r="K247" s="26" t="n">
        <x:v>61</x:v>
      </x:c>
      <x:c r="L247" s="26"/>
      <x:c r="M247" s="26"/>
      <x:c r="N247" s="26" t="n">
        <x:v>46</x:v>
      </x:c>
      <x:c r="O247" s="26"/>
      <x:c r="P247" s="26"/>
      <x:c r="Q247" s="26" t="n">
        <x:v>10</x:v>
      </x:c>
      <x:c r="R247" s="26"/>
      <x:c r="S247" s="26"/>
      <x:c r="T247" s="26"/>
      <x:c r="U247" s="26" t="n">
        <x:v>12</x:v>
      </x:c>
      <x:c r="V247" s="26" t="n">
        <x:v>129</x:v>
      </x:c>
    </x:row>
    <x:row r="248">
      <x:c r="A248" s="22" t="str">
        <x:v>October</x:v>
      </x:c>
      <x:c r="B248" s="23" t="n">
        <x:v>45577</x:v>
      </x:c>
      <x:c r="C248" s="23" t="n">
        <x:v>45577</x:v>
      </x:c>
      <x:c r="D248" s="22" t="str">
        <x:v>Volunteer Training</x:v>
      </x:c>
      <x:c r="E248" s="22" t="str">
        <x:v>Volunteer Training</x:v>
      </x:c>
      <x:c r="F248" s="22" t="str"/>
      <x:c r="G248" s="22" t="str"/>
      <x:c r="H248" s="24"/>
      <x:c r="I248" s="24"/>
      <x:c r="J248" s="25" t="n">
        <x:v>1</x:v>
      </x:c>
      <x:c r="K248" s="26" t="n">
        <x:v>30</x:v>
      </x:c>
      <x:c r="L248" s="26"/>
      <x:c r="M248" s="26"/>
      <x:c r="N248" s="26"/>
      <x:c r="O248" s="26"/>
      <x:c r="P248" s="26"/>
      <x:c r="Q248" s="26"/>
      <x:c r="R248" s="26"/>
      <x:c r="S248" s="26"/>
      <x:c r="T248" s="26" t="n">
        <x:v>34</x:v>
      </x:c>
      <x:c r="U248" s="26"/>
      <x:c r="V248" s="26" t="n">
        <x:v>64</x:v>
      </x:c>
    </x:row>
    <x:row r="249">
      <x:c r="A249" s="22" t="str">
        <x:v>October</x:v>
      </x:c>
      <x:c r="B249" s="23" t="n">
        <x:v>45596</x:v>
      </x:c>
      <x:c r="C249" s="23" t="n">
        <x:v>45596</x:v>
      </x:c>
      <x:c r="D249" s="22" t="str">
        <x:v>Family Programs IPR</x:v>
      </x:c>
      <x:c r="E249" s="22" t="str">
        <x:v>Family Programs Staff Meeting &amp; IPRs</x:v>
      </x:c>
      <x:c r="F249" s="22" t="str"/>
      <x:c r="G249" s="22" t="str"/>
      <x:c r="H249" s="24"/>
      <x:c r="I249" s="24"/>
      <x:c r="J249" s="25"/>
      <x:c r="K249" s="26" t="n">
        <x:v>16</x:v>
      </x:c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 t="n">
        <x:v>16</x:v>
      </x:c>
    </x:row>
    <x:row r="250">
      <x:c r="A250" s="22" t="str">
        <x:v>November</x:v>
      </x:c>
      <x:c r="B250" s="23" t="n">
        <x:v>45597</x:v>
      </x:c>
      <x:c r="C250" s="23" t="n">
        <x:v>45597</x:v>
      </x:c>
      <x:c r="D250" s="22" t="str">
        <x:v>Unit Family Day</x:v>
      </x:c>
      <x:c r="E250" s="22" t="str">
        <x:v>Family Days and Military Appreciation Events</x:v>
      </x:c>
      <x:c r="F250" s="22" t="str"/>
      <x:c r="G250" s="22" t="str"/>
      <x:c r="H250" s="24" t="n">
        <x:v>1</x:v>
      </x:c>
      <x:c r="I250" s="24" t="n">
        <x:v>2</x:v>
      </x:c>
      <x:c r="J250" s="25" t="n">
        <x:v>2</x:v>
      </x:c>
      <x:c r="K250" s="26" t="n">
        <x:v>40</x:v>
      </x:c>
      <x:c r="L250" s="26"/>
      <x:c r="M250" s="26"/>
      <x:c r="N250" s="26" t="n">
        <x:v>22</x:v>
      </x:c>
      <x:c r="O250" s="26" t="n">
        <x:v>5</x:v>
      </x:c>
      <x:c r="P250" s="26"/>
      <x:c r="Q250" s="26" t="n">
        <x:v>2</x:v>
      </x:c>
      <x:c r="R250" s="26"/>
      <x:c r="S250" s="26"/>
      <x:c r="T250" s="26"/>
      <x:c r="U250" s="26"/>
      <x:c r="V250" s="26" t="n">
        <x:v>69</x:v>
      </x:c>
    </x:row>
    <x:row r="251">
      <x:c r="A251" s="22" t="str">
        <x:v>November</x:v>
      </x:c>
      <x:c r="B251" s="23" t="n">
        <x:v>45611</x:v>
      </x:c>
      <x:c r="C251" s="23" t="n">
        <x:v>45611</x:v>
      </x:c>
      <x:c r="D251" s="22" t="str">
        <x:v>JCF</x:v>
      </x:c>
      <x:c r="E251" s="22" t="str">
        <x:v>Community Outreach, Briefings and Events</x:v>
      </x:c>
      <x:c r="F251" s="22" t="str"/>
      <x:c r="G251" s="22" t="str"/>
      <x:c r="H251" s="24"/>
      <x:c r="I251" s="24"/>
      <x:c r="J251" s="25"/>
      <x:c r="K251" s="26" t="n">
        <x:v>40</x:v>
      </x:c>
      <x:c r="L251" s="26"/>
      <x:c r="M251" s="26" t="n">
        <x:v>26</x:v>
      </x:c>
      <x:c r="N251" s="26"/>
      <x:c r="O251" s="26"/>
      <x:c r="P251" s="26"/>
      <x:c r="Q251" s="26"/>
      <x:c r="R251" s="26"/>
      <x:c r="S251" s="26"/>
      <x:c r="T251" s="26"/>
      <x:c r="U251" s="26"/>
      <x:c r="V251" s="26" t="n">
        <x:v>66</x:v>
      </x:c>
    </x:row>
    <x:row r="252">
      <x:c r="A252" s="22" t="str">
        <x:v>December</x:v>
      </x:c>
      <x:c r="B252" s="23" t="n">
        <x:v>45628</x:v>
      </x:c>
      <x:c r="C252" s="23" t="n">
        <x:v>45628</x:v>
      </x:c>
      <x:c r="D252" s="22" t="str">
        <x:v>185 CSSB Unity Holiday Event</x:v>
      </x:c>
      <x:c r="E252" s="22" t="str">
        <x:v>Family Days and Military Appreciation Events</x:v>
      </x:c>
      <x:c r="F252" s="22" t="str"/>
      <x:c r="G252" s="22" t="str"/>
      <x:c r="H252" s="24" t="n">
        <x:v>2</x:v>
      </x:c>
      <x:c r="I252" s="24" t="n">
        <x:v>2</x:v>
      </x:c>
      <x:c r="J252" s="25" t="n">
        <x:v>2</x:v>
      </x:c>
      <x:c r="K252" s="26" t="n">
        <x:v>98</x:v>
      </x:c>
      <x:c r="L252" s="26"/>
      <x:c r="M252" s="26"/>
      <x:c r="N252" s="26" t="n">
        <x:v>22</x:v>
      </x:c>
      <x:c r="O252" s="26"/>
      <x:c r="P252" s="26"/>
      <x:c r="Q252" s="26" t="n">
        <x:v>4</x:v>
      </x:c>
      <x:c r="R252" s="26"/>
      <x:c r="S252" s="26"/>
      <x:c r="T252" s="26"/>
      <x:c r="U252" s="26" t="n">
        <x:v>8</x:v>
      </x:c>
      <x:c r="V252" s="26" t="n">
        <x:v>132</x:v>
      </x:c>
    </x:row>
    <x:row r="253">
      <x:c r="A253" s="22" t="str">
        <x:v>November</x:v>
      </x:c>
      <x:c r="B253" s="23" t="n">
        <x:v>45631</x:v>
      </x:c>
      <x:c r="C253" s="23" t="n">
        <x:v>45631</x:v>
      </x:c>
      <x:c r="D253" s="22" t="str">
        <x:v>Annual Brief</x:v>
      </x:c>
      <x:c r="E253" s="22" t="str">
        <x:v>Command/Unit/FRG Briefings</x:v>
      </x:c>
      <x:c r="F253" s="22" t="str"/>
      <x:c r="G253" s="22" t="str"/>
      <x:c r="H253" s="24" t="n">
        <x:v>1</x:v>
      </x:c>
      <x:c r="I253" s="24" t="n">
        <x:v>1</x:v>
      </x:c>
      <x:c r="J253" s="25" t="n">
        <x:v>1</x:v>
      </x:c>
      <x:c r="K253" s="26" t="n">
        <x:v>119</x:v>
      </x:c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 t="n">
        <x:v>119</x:v>
      </x:c>
    </x:row>
    <x:row r="254">
      <x:c r="A254" s="22" t="str">
        <x:v>December</x:v>
      </x:c>
      <x:c r="B254" s="23" t="n">
        <x:v>45631</x:v>
      </x:c>
      <x:c r="C254" s="23" t="n">
        <x:v>45631</x:v>
      </x:c>
      <x:c r="D254" s="22" t="str">
        <x:v>RSG Annual Brief</x:v>
      </x:c>
      <x:c r="E254" s="22" t="str">
        <x:v>Command/Unit/FRG Briefings</x:v>
      </x:c>
      <x:c r="F254" s="22" t="str"/>
      <x:c r="G254" s="22" t="str"/>
      <x:c r="H254" s="24" t="n">
        <x:v>1</x:v>
      </x:c>
      <x:c r="I254" s="24" t="n">
        <x:v>1</x:v>
      </x:c>
      <x:c r="J254" s="25" t="n">
        <x:v>1</x:v>
      </x:c>
      <x:c r="K254" s="26" t="n">
        <x:v>45</x:v>
      </x:c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 t="n">
        <x:v>45</x:v>
      </x:c>
    </x:row>
    <x:row r="255">
      <x:c r="A255" s="22" t="str">
        <x:v>December</x:v>
      </x:c>
      <x:c r="B255" s="23" t="n">
        <x:v>45632</x:v>
      </x:c>
      <x:c r="C255" s="23" t="n">
        <x:v>45632</x:v>
      </x:c>
      <x:c r="D255" s="22" t="str">
        <x:v>132nd ARW Holiday Event</x:v>
      </x:c>
      <x:c r="E255" s="22" t="str">
        <x:v>Family Days and Military Appreciation Events</x:v>
      </x:c>
      <x:c r="F255" s="22" t="str"/>
      <x:c r="G255" s="22" t="str"/>
      <x:c r="H255" s="24" t="n">
        <x:v>2</x:v>
      </x:c>
      <x:c r="I255" s="24" t="n">
        <x:v>2</x:v>
      </x:c>
      <x:c r="J255" s="25" t="n">
        <x:v>2</x:v>
      </x:c>
      <x:c r="K255" s="26"/>
      <x:c r="L255" s="26" t="n">
        <x:v>157</x:v>
      </x:c>
      <x:c r="M255" s="26"/>
      <x:c r="N255" s="26"/>
      <x:c r="O255" s="26" t="n">
        <x:v>82</x:v>
      </x:c>
      <x:c r="P255" s="26"/>
      <x:c r="Q255" s="26"/>
      <x:c r="R255" s="26" t="n">
        <x:v>25</x:v>
      </x:c>
      <x:c r="S255" s="26"/>
      <x:c r="T255" s="26"/>
      <x:c r="U255" s="26" t="n">
        <x:v>32</x:v>
      </x:c>
      <x:c r="V255" s="26" t="n">
        <x:v>296</x:v>
      </x:c>
    </x:row>
    <x:row r="256">
      <x:c r="A256" s="22" t="str">
        <x:v>December</x:v>
      </x:c>
      <x:c r="B256" s="23" t="n">
        <x:v>45633</x:v>
      </x:c>
      <x:c r="C256" s="23" t="n">
        <x:v>45633</x:v>
      </x:c>
      <x:c r="D256" s="22" t="str">
        <x:v>Camp Dodge Training Center Holiday Event</x:v>
      </x:c>
      <x:c r="E256" s="22" t="str">
        <x:v>Family Days and Military Appreciation Events</x:v>
      </x:c>
      <x:c r="F256" s="22" t="str"/>
      <x:c r="G256" s="22" t="str"/>
      <x:c r="H256" s="24" t="n">
        <x:v>1</x:v>
      </x:c>
      <x:c r="I256" s="24" t="n">
        <x:v>2</x:v>
      </x:c>
      <x:c r="J256" s="25" t="n">
        <x:v>2</x:v>
      </x:c>
      <x:c r="K256" s="26" t="n">
        <x:v>83</x:v>
      </x:c>
      <x:c r="L256" s="26"/>
      <x:c r="M256" s="26"/>
      <x:c r="N256" s="26" t="n">
        <x:v>21</x:v>
      </x:c>
      <x:c r="O256" s="26"/>
      <x:c r="P256" s="26"/>
      <x:c r="Q256" s="26" t="n">
        <x:v>2</x:v>
      </x:c>
      <x:c r="R256" s="26"/>
      <x:c r="S256" s="26"/>
      <x:c r="T256" s="26"/>
      <x:c r="U256" s="26" t="n">
        <x:v>5</x:v>
      </x:c>
      <x:c r="V256" s="26" t="n">
        <x:v>111</x:v>
      </x:c>
    </x:row>
    <x:row r="257">
      <x:c r="A257" s="22" t="str">
        <x:v>December</x:v>
      </x:c>
      <x:c r="B257" s="23" t="n">
        <x:v>45633</x:v>
      </x:c>
      <x:c r="C257" s="23" t="n">
        <x:v>45633</x:v>
      </x:c>
      <x:c r="D257" s="22" t="str">
        <x:v>Yellow Ribbon</x:v>
      </x:c>
      <x:c r="E257" s="22" t="str">
        <x:v>Yellow Ribbon Briefing and Programming</x:v>
      </x:c>
      <x:c r="F257" s="22" t="str"/>
      <x:c r="G257" s="22" t="str"/>
      <x:c r="H257" s="24" t="n">
        <x:v>1</x:v>
      </x:c>
      <x:c r="I257" s="24" t="n">
        <x:v>1</x:v>
      </x:c>
      <x:c r="J257" s="25" t="n">
        <x:v>1</x:v>
      </x:c>
      <x:c r="K257" s="26" t="n">
        <x:v>40</x:v>
      </x:c>
      <x:c r="L257" s="26"/>
      <x:c r="M257" s="26"/>
      <x:c r="N257" s="26" t="n">
        <x:v>1</x:v>
      </x:c>
      <x:c r="O257" s="26"/>
      <x:c r="P257" s="26"/>
      <x:c r="Q257" s="26" t="n">
        <x:v>0</x:v>
      </x:c>
      <x:c r="R257" s="26"/>
      <x:c r="S257" s="26"/>
      <x:c r="T257" s="26"/>
      <x:c r="U257" s="26"/>
      <x:c r="V257" s="26" t="n">
        <x:v>41</x:v>
      </x:c>
    </x:row>
    <x:row r="258">
      <x:c r="A258" s="22" t="str">
        <x:v>December</x:v>
      </x:c>
      <x:c r="B258" s="23" t="n">
        <x:v>45634</x:v>
      </x:c>
      <x:c r="C258" s="23" t="n">
        <x:v>45634</x:v>
      </x:c>
      <x:c r="D258" s="22" t="str">
        <x:v>734 RSG HHC Holiday Event</x:v>
      </x:c>
      <x:c r="E258" s="22" t="str">
        <x:v>Family Days and Military Appreciation Events</x:v>
      </x:c>
      <x:c r="F258" s="22" t="str"/>
      <x:c r="G258" s="22" t="str"/>
      <x:c r="H258" s="24" t="n">
        <x:v>1</x:v>
      </x:c>
      <x:c r="I258" s="24" t="n">
        <x:v>2</x:v>
      </x:c>
      <x:c r="J258" s="25" t="n">
        <x:v>2</x:v>
      </x:c>
      <x:c r="K258" s="26" t="n">
        <x:v>90</x:v>
      </x:c>
      <x:c r="L258" s="26"/>
      <x:c r="M258" s="26"/>
      <x:c r="N258" s="26" t="n">
        <x:v>68</x:v>
      </x:c>
      <x:c r="O258" s="26"/>
      <x:c r="P258" s="26"/>
      <x:c r="Q258" s="26" t="n">
        <x:v>14</x:v>
      </x:c>
      <x:c r="R258" s="26"/>
      <x:c r="S258" s="26"/>
      <x:c r="T258" s="26"/>
      <x:c r="U258" s="26" t="n">
        <x:v>18</x:v>
      </x:c>
      <x:c r="V258" s="26" t="n">
        <x:v>190</x:v>
      </x:c>
    </x:row>
    <x:row r="259">
      <x:c r="A259" s="22" t="str">
        <x:v>January</x:v>
      </x:c>
      <x:c r="B259" s="23" t="n">
        <x:v>45682</x:v>
      </x:c>
      <x:c r="C259" s="23" t="n">
        <x:v>45682</x:v>
      </x:c>
      <x:c r="D259" s="22" t="str">
        <x:v>186th MP/ 1034th CSSB Post Yellow Ribbon Event </x:v>
      </x:c>
      <x:c r="E259" s="22" t="str">
        <x:v>Yellow Ribbon Briefing and Programming</x:v>
      </x:c>
      <x:c r="F259" s="22" t="str"/>
      <x:c r="G259" s="22" t="str"/>
      <x:c r="H259" s="24"/>
      <x:c r="I259" s="24"/>
      <x:c r="J259" s="25" t="n">
        <x:v>0.5</x:v>
      </x:c>
      <x:c r="K259" s="26" t="n">
        <x:v>75</x:v>
      </x:c>
      <x:c r="L259" s="26"/>
      <x:c r="M259" s="26"/>
      <x:c r="N259" s="26" t="n">
        <x:v>3</x:v>
      </x:c>
      <x:c r="O259" s="26"/>
      <x:c r="P259" s="26"/>
      <x:c r="Q259" s="26"/>
      <x:c r="R259" s="26"/>
      <x:c r="S259" s="26"/>
      <x:c r="T259" s="26" t="n">
        <x:v>10</x:v>
      </x:c>
      <x:c r="U259" s="26"/>
      <x:c r="V259" s="26" t="n">
        <x:v>88</x:v>
      </x:c>
    </x:row>
    <x:row r="260">
      <x:c r="A260" s="22" t="str">
        <x:v>February</x:v>
      </x:c>
      <x:c r="B260" s="23" t="n">
        <x:v>45704</x:v>
      </x:c>
      <x:c r="C260" s="23" t="n">
        <x:v>45704</x:v>
      </x:c>
      <x:c r="D260" s="22" t="str">
        <x:v>MFE Cedar Rapids</x:v>
      </x:c>
      <x:c r="E260" s="22" t="str">
        <x:v>Day Camp</x:v>
      </x:c>
      <x:c r="F260" s="22" t="str"/>
      <x:c r="G260" s="22" t="str"/>
      <x:c r="H260" s="24"/>
      <x:c r="I260" s="24"/>
      <x:c r="J260" s="25" t="n">
        <x:v>2</x:v>
      </x:c>
      <x:c r="K260" s="26" t="n">
        <x:v>3</x:v>
      </x:c>
      <x:c r="L260" s="26"/>
      <x:c r="M260" s="26"/>
      <x:c r="N260" s="26" t="n">
        <x:v>4</x:v>
      </x:c>
      <x:c r="O260" s="26"/>
      <x:c r="P260" s="26"/>
      <x:c r="Q260" s="26" t="n">
        <x:v>2</x:v>
      </x:c>
      <x:c r="R260" s="26"/>
      <x:c r="S260" s="26"/>
      <x:c r="T260" s="26"/>
      <x:c r="U260" s="26"/>
      <x:c r="V260" s="26" t="n">
        <x:v>9</x:v>
      </x:c>
    </x:row>
    <x:row r="261">
      <x:c r="A261" s="22" t="str">
        <x:v>February</x:v>
      </x:c>
      <x:c r="B261" s="23" t="n">
        <x:v>45711</x:v>
      </x:c>
      <x:c r="C261" s="23" t="n">
        <x:v>45711</x:v>
      </x:c>
      <x:c r="D261" s="22" t="str">
        <x:v>MFE: Davenport</x:v>
      </x:c>
      <x:c r="E261" s="22" t="str">
        <x:v>Day Camp</x:v>
      </x:c>
      <x:c r="F261" s="22" t="str"/>
      <x:c r="G261" s="22" t="str"/>
      <x:c r="H261" s="24" t="n">
        <x:v>1</x:v>
      </x:c>
      <x:c r="I261" s="24"/>
      <x:c r="J261" s="25" t="n">
        <x:v>2</x:v>
      </x:c>
      <x:c r="K261" s="26" t="n">
        <x:v>7</x:v>
      </x:c>
      <x:c r="L261" s="26"/>
      <x:c r="M261" s="26"/>
      <x:c r="N261" s="26" t="n">
        <x:v>8</x:v>
      </x:c>
      <x:c r="O261" s="26"/>
      <x:c r="P261" s="26"/>
      <x:c r="Q261" s="26"/>
      <x:c r="R261" s="26"/>
      <x:c r="S261" s="26"/>
      <x:c r="T261" s="26"/>
      <x:c r="U261" s="26" t="n">
        <x:v>5</x:v>
      </x:c>
      <x:c r="V261" s="26" t="n">
        <x:v>20</x:v>
      </x:c>
    </x:row>
    <x:row r="262">
      <x:c r="A262" s="22" t="str">
        <x:v>March</x:v>
      </x:c>
      <x:c r="B262" s="23" t="n">
        <x:v>45723</x:v>
      </x:c>
      <x:c r="C262" s="23" t="n">
        <x:v>45725</x:v>
      </x:c>
      <x:c r="D262" s="22" t="str">
        <x:v>STP Retreat</x:v>
      </x:c>
      <x:c r="E262" s="22" t="str">
        <x:v>Teen Council Meeting or Training</x:v>
      </x:c>
      <x:c r="F262" s="22" t="str"/>
      <x:c r="G262" s="22" t="str"/>
      <x:c r="H262" s="24" t="n">
        <x:v>2</x:v>
      </x:c>
      <x:c r="I262" s="24" t="n">
        <x:v>6</x:v>
      </x:c>
      <x:c r="J262" s="25" t="n">
        <x:v>23</x:v>
      </x:c>
      <x:c r="K262" s="26" t="n">
        <x:v>9</x:v>
      </x:c>
      <x:c r="L262" s="26"/>
      <x:c r="M262" s="26"/>
      <x:c r="N262" s="26"/>
      <x:c r="O262" s="26"/>
      <x:c r="P262" s="26"/>
      <x:c r="Q262" s="26" t="n">
        <x:v>9</x:v>
      </x:c>
      <x:c r="R262" s="26"/>
      <x:c r="S262" s="26"/>
      <x:c r="T262" s="26"/>
      <x:c r="U262" s="26"/>
      <x:c r="V262" s="26" t="n">
        <x:v>18</x:v>
      </x:c>
    </x:row>
    <x:row r="263">
      <x:c r="A263" s="22" t="str">
        <x:v>April</x:v>
      </x:c>
      <x:c r="B263" s="23" t="n">
        <x:v>45753</x:v>
      </x:c>
      <x:c r="C263" s="23" t="n">
        <x:v>45753</x:v>
      </x:c>
      <x:c r="D263" s="22" t="str">
        <x:v>MFE: Sioux City</x:v>
      </x:c>
      <x:c r="E263" s="22" t="str">
        <x:v>MOMC</x:v>
      </x:c>
      <x:c r="F263" s="22" t="str"/>
      <x:c r="G263" s="22" t="str"/>
      <x:c r="H263" s="24"/>
      <x:c r="I263" s="24"/>
      <x:c r="J263" s="25" t="n">
        <x:v>2</x:v>
      </x:c>
      <x:c r="K263" s="26" t="n">
        <x:v>10</x:v>
      </x:c>
      <x:c r="L263" s="26"/>
      <x:c r="M263" s="26"/>
      <x:c r="N263" s="26" t="n">
        <x:v>9</x:v>
      </x:c>
      <x:c r="O263" s="26"/>
      <x:c r="P263" s="26"/>
      <x:c r="Q263" s="26" t="n">
        <x:v>5</x:v>
      </x:c>
      <x:c r="R263" s="26"/>
      <x:c r="S263" s="26"/>
      <x:c r="T263" s="26"/>
      <x:c r="U263" s="26" t="n">
        <x:v>3</x:v>
      </x:c>
      <x:c r="V263" s="26" t="n">
        <x:v>27</x:v>
      </x:c>
    </x:row>
    <x:row r="264">
      <x:c r="A264" s="22" t="str">
        <x:v>April</x:v>
      </x:c>
      <x:c r="B264" s="23" t="n">
        <x:v>45759</x:v>
      </x:c>
      <x:c r="C264" s="23" t="n">
        <x:v>45759</x:v>
      </x:c>
      <x:c r="D264" s="22" t="str">
        <x:v>Military Family Ball</x:v>
      </x:c>
      <x:c r="E264" s="22" t="str">
        <x:v>MOMC</x:v>
      </x:c>
      <x:c r="F264" s="22" t="str"/>
      <x:c r="G264" s="22" t="str"/>
      <x:c r="H264" s="24" t="n">
        <x:v>10</x:v>
      </x:c>
      <x:c r="I264" s="24" t="n">
        <x:v>2</x:v>
      </x:c>
      <x:c r="J264" s="25" t="n">
        <x:v>3</x:v>
      </x:c>
      <x:c r="K264" s="26" t="n">
        <x:v>26</x:v>
      </x:c>
      <x:c r="L264" s="26"/>
      <x:c r="M264" s="26"/>
      <x:c r="N264" s="26"/>
      <x:c r="O264" s="26" t="n">
        <x:v>16</x:v>
      </x:c>
      <x:c r="P264" s="26"/>
      <x:c r="Q264" s="26"/>
      <x:c r="R264" s="26" t="n">
        <x:v>13</x:v>
      </x:c>
      <x:c r="S264" s="26"/>
      <x:c r="T264" s="26"/>
      <x:c r="U264" s="26" t="n">
        <x:v>7</x:v>
      </x:c>
      <x:c r="V264" s="26" t="n">
        <x:v>62</x:v>
      </x:c>
    </x:row>
    <x:row r="265">
      <x:c r="A265" s="22" t="str">
        <x:v>April</x:v>
      </x:c>
      <x:c r="B265" s="23" t="n">
        <x:v>45759</x:v>
      </x:c>
      <x:c r="C265" s="23" t="n">
        <x:v>45759</x:v>
      </x:c>
      <x:c r="D265" s="22" t="str">
        <x:v>Volunteer Training</x:v>
      </x:c>
      <x:c r="E265" s="22" t="str">
        <x:v>Volunteer Training</x:v>
      </x:c>
      <x:c r="F265" s="22" t="str"/>
      <x:c r="G265" s="22" t="str"/>
      <x:c r="H265" s="24"/>
      <x:c r="I265" s="24"/>
      <x:c r="J265" s="25" t="n">
        <x:v>1</x:v>
      </x:c>
      <x:c r="K265" s="26" t="n">
        <x:v>10</x:v>
      </x:c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 t="n">
        <x:v>10</x:v>
      </x:c>
    </x:row>
    <x:row r="266">
      <x:c r="A266" s="22" t="str">
        <x:v>April</x:v>
      </x:c>
      <x:c r="B266" s="23" t="n">
        <x:v>45759</x:v>
      </x:c>
      <x:c r="C266" s="23" t="n">
        <x:v>45759</x:v>
      </x:c>
      <x:c r="D266" s="22" t="str">
        <x:v>State Teen Panel</x:v>
      </x:c>
      <x:c r="E266" s="22" t="str">
        <x:v>Teen Council Meeting or Training</x:v>
      </x:c>
      <x:c r="F266" s="22" t="str"/>
      <x:c r="G266" s="22" t="str"/>
      <x:c r="H266" s="24"/>
      <x:c r="I266" s="24"/>
      <x:c r="J266" s="25" t="n">
        <x:v>9</x:v>
      </x:c>
      <x:c r="K266" s="26"/>
      <x:c r="L266" s="26"/>
      <x:c r="M266" s="26"/>
      <x:c r="N266" s="26"/>
      <x:c r="O266" s="26"/>
      <x:c r="P266" s="26"/>
      <x:c r="Q266" s="26" t="n">
        <x:v>10</x:v>
      </x:c>
      <x:c r="R266" s="26"/>
      <x:c r="S266" s="26"/>
      <x:c r="T266" s="26"/>
      <x:c r="U266" s="26"/>
      <x:c r="V266" s="26" t="n">
        <x:v>10</x:v>
      </x:c>
    </x:row>
    <x:row r="267">
      <x:c r="A267" s="22" t="str">
        <x:v>April</x:v>
      </x:c>
      <x:c r="B267" s="23" t="n">
        <x:v>45769</x:v>
      </x:c>
      <x:c r="C267" s="23" t="n">
        <x:v>45769</x:v>
      </x:c>
      <x:c r="D267" s="22" t="str">
        <x:v>Governor Proclamation Signing</x:v>
      </x:c>
      <x:c r="E267" s="22" t="str">
        <x:v>MOMC</x:v>
      </x:c>
      <x:c r="F267" s="22" t="str"/>
      <x:c r="G267" s="22" t="str"/>
      <x:c r="H267" s="24"/>
      <x:c r="I267" s="24"/>
      <x:c r="J267" s="25" t="n">
        <x:v>1.5</x:v>
      </x:c>
      <x:c r="K267" s="26" t="n">
        <x:v>8</x:v>
      </x:c>
      <x:c r="L267" s="26"/>
      <x:c r="M267" s="26"/>
      <x:c r="N267" s="26" t="n">
        <x:v>4</x:v>
      </x:c>
      <x:c r="O267" s="26"/>
      <x:c r="P267" s="26"/>
      <x:c r="Q267" s="26" t="n">
        <x:v>4</x:v>
      </x:c>
      <x:c r="R267" s="26"/>
      <x:c r="S267" s="26"/>
      <x:c r="T267" s="26"/>
      <x:c r="U267" s="26"/>
      <x:c r="V267" s="26" t="n">
        <x:v>16</x:v>
      </x:c>
    </x:row>
    <x:row r="268">
      <x:c r="A268" s="22" t="str">
        <x:v>April</x:v>
      </x:c>
      <x:c r="B268" s="23" t="n">
        <x:v>45774</x:v>
      </x:c>
      <x:c r="C268" s="23" t="n">
        <x:v>45774</x:v>
      </x:c>
      <x:c r="D268" s="22" t="str">
        <x:v>MFE Des Moines</x:v>
      </x:c>
      <x:c r="E268" s="22" t="str">
        <x:v>MOMC</x:v>
      </x:c>
      <x:c r="F268" s="22" t="str"/>
      <x:c r="G268" s="22" t="str"/>
      <x:c r="H268" s="24" t="n">
        <x:v>1</x:v>
      </x:c>
      <x:c r="I268" s="24" t="n">
        <x:v>2</x:v>
      </x:c>
      <x:c r="J268" s="25" t="n">
        <x:v>2</x:v>
      </x:c>
      <x:c r="K268" s="26" t="n">
        <x:v>41</x:v>
      </x:c>
      <x:c r="L268" s="26"/>
      <x:c r="M268" s="26"/>
      <x:c r="N268" s="26" t="n">
        <x:v>31</x:v>
      </x:c>
      <x:c r="O268" s="26"/>
      <x:c r="P268" s="26"/>
      <x:c r="Q268" s="26" t="n">
        <x:v>8</x:v>
      </x:c>
      <x:c r="R268" s="26"/>
      <x:c r="S268" s="26"/>
      <x:c r="T268" s="26"/>
      <x:c r="U268" s="26" t="n">
        <x:v>6</x:v>
      </x:c>
      <x:c r="V268" s="26" t="n">
        <x:v>86</x:v>
      </x:c>
    </x:row>
    <x:row r="269">
      <x:c r="A269" s="22" t="str">
        <x:v>April</x:v>
      </x:c>
      <x:c r="B269" s="23" t="n">
        <x:v>45777</x:v>
      </x:c>
      <x:c r="C269" s="23" t="n">
        <x:v>45777</x:v>
      </x:c>
      <x:c r="D269" s="22" t="str">
        <x:v>Purple Up Classroom Kits</x:v>
      </x:c>
      <x:c r="E269" s="22" t="str">
        <x:v>MOMC</x:v>
      </x:c>
      <x:c r="F269" s="22" t="str"/>
      <x:c r="G269" s="22" t="str"/>
      <x:c r="H269" s="24"/>
      <x:c r="I269" s="24"/>
      <x:c r="J269" s="25" t="n">
        <x:v>1</x:v>
      </x:c>
      <x:c r="K269" s="26"/>
      <x:c r="L269" s="26"/>
      <x:c r="M269" s="26"/>
      <x:c r="N269" s="26" t="n">
        <x:v>126</x:v>
      </x:c>
      <x:c r="O269" s="26"/>
      <x:c r="P269" s="26"/>
      <x:c r="Q269" s="26"/>
      <x:c r="R269" s="26"/>
      <x:c r="S269" s="26"/>
      <x:c r="T269" s="26" t="n">
        <x:v>2520</x:v>
      </x:c>
      <x:c r="U269" s="26"/>
      <x:c r="V269" s="26" t="n">
        <x:v>2646</x:v>
      </x:c>
    </x:row>
    <x:row r="270">
      <x:c r="A270" s="22" t="str">
        <x:v>May</x:v>
      </x:c>
      <x:c r="B270" s="23" t="n">
        <x:v>45790</x:v>
      </x:c>
      <x:c r="C270" s="23" t="n">
        <x:v>45790</x:v>
      </x:c>
      <x:c r="D270" s="22" t="str">
        <x:v>Career/ Resource Fair</x:v>
      </x:c>
      <x:c r="E270" s="22" t="str">
        <x:v>Community Outreach, Briefings and Events</x:v>
      </x:c>
      <x:c r="F270" s="22" t="str"/>
      <x:c r="G270" s="22" t="str"/>
      <x:c r="H270" s="24"/>
      <x:c r="I270" s="24"/>
      <x:c r="J270" s="25" t="n">
        <x:v>0.5</x:v>
      </x:c>
      <x:c r="K270" s="26" t="n">
        <x:v>3</x:v>
      </x:c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 t="n">
        <x:v>3</x:v>
      </x:c>
    </x:row>
    <x:row r="271">
      <x:c r="A271" s="22" t="str">
        <x:v>May</x:v>
      </x:c>
      <x:c r="B271" s="23" t="n">
        <x:v>45793</x:v>
      </x:c>
      <x:c r="C271" s="23" t="n">
        <x:v>45793</x:v>
      </x:c>
      <x:c r="D271" s="22" t="str">
        <x:v>Yellow Ribbon - Iowa City</x:v>
      </x:c>
      <x:c r="E271" s="22" t="str">
        <x:v>Yellow Ribbon Briefing and Programming</x:v>
      </x:c>
      <x:c r="F271" s="22" t="str"/>
      <x:c r="G271" s="22" t="str"/>
      <x:c r="H271" s="24"/>
      <x:c r="I271" s="24"/>
      <x:c r="J271" s="25" t="n">
        <x:v>2</x:v>
      </x:c>
      <x:c r="K271" s="26"/>
      <x:c r="L271" s="26"/>
      <x:c r="M271" s="26"/>
      <x:c r="N271" s="26" t="n">
        <x:v>26</x:v>
      </x:c>
      <x:c r="O271" s="26"/>
      <x:c r="P271" s="26"/>
      <x:c r="Q271" s="26"/>
      <x:c r="R271" s="26"/>
      <x:c r="S271" s="26"/>
      <x:c r="T271" s="26"/>
      <x:c r="U271" s="26"/>
      <x:c r="V271" s="26" t="n">
        <x:v>26</x:v>
      </x:c>
    </x:row>
    <x:row r="272">
      <x:c r="A272" s="22" t="str">
        <x:v>May</x:v>
      </x:c>
      <x:c r="B272" s="23" t="n">
        <x:v>45793</x:v>
      </x:c>
      <x:c r="C272" s="23" t="n">
        <x:v>45793</x:v>
      </x:c>
      <x:c r="D272" s="22" t="str">
        <x:v>Yellow Ribbon - Des Moines</x:v>
      </x:c>
      <x:c r="E272" s="22" t="str">
        <x:v>Yellow Ribbon Briefing and Programming</x:v>
      </x:c>
      <x:c r="F272" s="22" t="str"/>
      <x:c r="G272" s="22" t="str"/>
      <x:c r="H272" s="24" t="n">
        <x:v>1</x:v>
      </x:c>
      <x:c r="I272" s="24" t="n">
        <x:v>8</x:v>
      </x:c>
      <x:c r="J272" s="25" t="n">
        <x:v>7</x:v>
      </x:c>
      <x:c r="K272" s="26" t="n">
        <x:v>1100</x:v>
      </x:c>
      <x:c r="L272" s="26"/>
      <x:c r="M272" s="26"/>
      <x:c r="N272" s="26" t="n">
        <x:v>3</x:v>
      </x:c>
      <x:c r="O272" s="26"/>
      <x:c r="P272" s="26"/>
      <x:c r="Q272" s="26"/>
      <x:c r="R272" s="26"/>
      <x:c r="S272" s="26"/>
      <x:c r="T272" s="26"/>
      <x:c r="U272" s="26"/>
      <x:c r="V272" s="26" t="n">
        <x:v>1103</x:v>
      </x:c>
    </x:row>
    <x:row r="273">
      <x:c r="A273" s="22" t="str">
        <x:v>May</x:v>
      </x:c>
      <x:c r="B273" s="23" t="n">
        <x:v>45794</x:v>
      </x:c>
      <x:c r="C273" s="23" t="n">
        <x:v>45794</x:v>
      </x:c>
      <x:c r="D273" s="22" t="str">
        <x:v>Yellow Ribbon - Boone</x:v>
      </x:c>
      <x:c r="E273" s="22" t="str">
        <x:v>Yellow Ribbon Briefing and Programming</x:v>
      </x:c>
      <x:c r="F273" s="22" t="str"/>
      <x:c r="G273" s="22" t="str"/>
      <x:c r="H273" s="24"/>
      <x:c r="I273" s="24"/>
      <x:c r="J273" s="25" t="n">
        <x:v>2</x:v>
      </x:c>
      <x:c r="K273" s="26"/>
      <x:c r="L273" s="26"/>
      <x:c r="M273" s="26"/>
      <x:c r="N273" s="26" t="n">
        <x:v>7</x:v>
      </x:c>
      <x:c r="O273" s="26"/>
      <x:c r="P273" s="26"/>
      <x:c r="Q273" s="26"/>
      <x:c r="R273" s="26"/>
      <x:c r="S273" s="26"/>
      <x:c r="T273" s="26"/>
      <x:c r="U273" s="26"/>
      <x:c r="V273" s="26" t="n">
        <x:v>7</x:v>
      </x:c>
    </x:row>
    <x:row r="274">
      <x:c r="A274" s="22" t="str">
        <x:v>May</x:v>
      </x:c>
      <x:c r="B274" s="23" t="n">
        <x:v>45794</x:v>
      </x:c>
      <x:c r="C274" s="23" t="n">
        <x:v>45794</x:v>
      </x:c>
      <x:c r="D274" s="22" t="str">
        <x:v>Yellow Ribbon - Waterloo</x:v>
      </x:c>
      <x:c r="E274" s="22" t="str">
        <x:v>Yellow Ribbon Briefing and Programming</x:v>
      </x:c>
      <x:c r="F274" s="22" t="str"/>
      <x:c r="G274" s="22" t="str"/>
      <x:c r="H274" s="24"/>
      <x:c r="I274" s="24"/>
      <x:c r="J274" s="25" t="n">
        <x:v>2</x:v>
      </x:c>
      <x:c r="K274" s="26"/>
      <x:c r="L274" s="26"/>
      <x:c r="M274" s="26"/>
      <x:c r="N274" s="26" t="n">
        <x:v>7</x:v>
      </x:c>
      <x:c r="O274" s="26"/>
      <x:c r="P274" s="26"/>
      <x:c r="Q274" s="26"/>
      <x:c r="R274" s="26"/>
      <x:c r="S274" s="26"/>
      <x:c r="T274" s="26"/>
      <x:c r="U274" s="26"/>
      <x:c r="V274" s="26" t="n">
        <x:v>7</x:v>
      </x:c>
    </x:row>
    <x:row r="275">
      <x:c r="A275" s="22" t="str">
        <x:v>May</x:v>
      </x:c>
      <x:c r="B275" s="23" t="n">
        <x:v>45795</x:v>
      </x:c>
      <x:c r="C275" s="23" t="n">
        <x:v>45795</x:v>
      </x:c>
      <x:c r="D275" s="22" t="str">
        <x:v>Yellow Ribbon - Council Bluffs</x:v>
      </x:c>
      <x:c r="E275" s="22" t="str">
        <x:v>Yellow Ribbon Briefing and Programming</x:v>
      </x:c>
      <x:c r="F275" s="22" t="str"/>
      <x:c r="G275" s="22" t="str"/>
      <x:c r="H275" s="24"/>
      <x:c r="I275" s="24"/>
      <x:c r="J275" s="25" t="n">
        <x:v>2</x:v>
      </x:c>
      <x:c r="K275" s="26"/>
      <x:c r="L275" s="26"/>
      <x:c r="M275" s="26"/>
      <x:c r="N275" s="26" t="n">
        <x:v>3</x:v>
      </x:c>
      <x:c r="O275" s="26"/>
      <x:c r="P275" s="26"/>
      <x:c r="Q275" s="26"/>
      <x:c r="R275" s="26"/>
      <x:c r="S275" s="26"/>
      <x:c r="T275" s="26"/>
      <x:c r="U275" s="26"/>
      <x:c r="V275" s="26" t="n">
        <x:v>3</x:v>
      </x:c>
    </x:row>
    <x:row r="276">
      <x:c r="A276" s="22" t="str">
        <x:v>May</x:v>
      </x:c>
      <x:c r="B276" s="23" t="n">
        <x:v>45795</x:v>
      </x:c>
      <x:c r="C276" s="23" t="n">
        <x:v>45795</x:v>
      </x:c>
      <x:c r="D276" s="22" t="str">
        <x:v>Yellow Ribbon - Sioux City</x:v>
      </x:c>
      <x:c r="E276" s="22" t="str">
        <x:v>Yellow Ribbon Briefing and Programming</x:v>
      </x:c>
      <x:c r="F276" s="22" t="str"/>
      <x:c r="G276" s="22" t="str"/>
      <x:c r="H276" s="24"/>
      <x:c r="I276" s="24"/>
      <x:c r="J276" s="25" t="n">
        <x:v>2</x:v>
      </x:c>
      <x:c r="K276" s="26"/>
      <x:c r="L276" s="26"/>
      <x:c r="M276" s="26"/>
      <x:c r="N276" s="26" t="n">
        <x:v>16</x:v>
      </x:c>
      <x:c r="O276" s="26"/>
      <x:c r="P276" s="26"/>
      <x:c r="Q276" s="26"/>
      <x:c r="R276" s="26"/>
      <x:c r="S276" s="26"/>
      <x:c r="T276" s="26"/>
      <x:c r="U276" s="26"/>
      <x:c r="V276" s="26" t="n">
        <x:v>16</x:v>
      </x:c>
    </x:row>
    <x:row r="277">
      <x:c r="A277" s="22" t="str">
        <x:v>June</x:v>
      </x:c>
      <x:c r="B277" s="23" t="n">
        <x:v>45810</x:v>
      </x:c>
      <x:c r="C277" s="23" t="n">
        <x:v>45810</x:v>
      </x:c>
      <x:c r="D277" s="22" t="str">
        <x:v>Horse Camp Group 1</x:v>
      </x:c>
      <x:c r="E277" s="22" t="str">
        <x:v>Day Camp</x:v>
      </x:c>
      <x:c r="F277" s="22" t="str"/>
      <x:c r="G277" s="22" t="str"/>
      <x:c r="H277" s="24" t="n">
        <x:v>13</x:v>
      </x:c>
      <x:c r="I277" s="24" t="n">
        <x:v>2.5</x:v>
      </x:c>
      <x:c r="J277" s="25" t="n">
        <x:v>2.5</x:v>
      </x:c>
      <x:c r="K277" s="26" t="n">
        <x:v>6</x:v>
      </x:c>
      <x:c r="L277" s="26"/>
      <x:c r="M277" s="26"/>
      <x:c r="N277" s="26" t="n">
        <x:v>6</x:v>
      </x:c>
      <x:c r="O277" s="26"/>
      <x:c r="P277" s="26"/>
      <x:c r="Q277" s="26"/>
      <x:c r="R277" s="26"/>
      <x:c r="S277" s="26"/>
      <x:c r="T277" s="26"/>
      <x:c r="U277" s="26"/>
      <x:c r="V277" s="26" t="n">
        <x:v>12</x:v>
      </x:c>
    </x:row>
    <x:row r="278">
      <x:c r="A278" s="22" t="str">
        <x:v>June</x:v>
      </x:c>
      <x:c r="B278" s="23" t="n">
        <x:v>45811</x:v>
      </x:c>
      <x:c r="C278" s="23" t="n">
        <x:v>45811</x:v>
      </x:c>
      <x:c r="D278" s="22" t="str">
        <x:v>Horse Camp Group 2</x:v>
      </x:c>
      <x:c r="E278" s="22" t="str">
        <x:v>Day Camp</x:v>
      </x:c>
      <x:c r="F278" s="22" t="str"/>
      <x:c r="G278" s="22" t="str"/>
      <x:c r="H278" s="24" t="n">
        <x:v>13</x:v>
      </x:c>
      <x:c r="I278" s="24" t="n">
        <x:v>2.5</x:v>
      </x:c>
      <x:c r="J278" s="25" t="n">
        <x:v>2.5</x:v>
      </x:c>
      <x:c r="K278" s="26" t="n">
        <x:v>11</x:v>
      </x:c>
      <x:c r="L278" s="26" t="n">
        <x:v>1</x:v>
      </x:c>
      <x:c r="M278" s="26"/>
      <x:c r="N278" s="26" t="n">
        <x:v>14</x:v>
      </x:c>
      <x:c r="O278" s="26" t="n">
        <x:v>1</x:v>
      </x:c>
      <x:c r="P278" s="26"/>
      <x:c r="Q278" s="26"/>
      <x:c r="R278" s="26"/>
      <x:c r="S278" s="26"/>
      <x:c r="T278" s="26"/>
      <x:c r="U278" s="26"/>
      <x:c r="V278" s="26" t="n">
        <x:v>27</x:v>
      </x:c>
    </x:row>
    <x:row r="279">
      <x:c r="A279" s="22" t="str">
        <x:v>June</x:v>
      </x:c>
      <x:c r="B279" s="23" t="n">
        <x:v>45812</x:v>
      </x:c>
      <x:c r="C279" s="23" t="n">
        <x:v>45812</x:v>
      </x:c>
      <x:c r="D279" s="22" t="str">
        <x:v>Horse Camp Group 3</x:v>
      </x:c>
      <x:c r="E279" s="22" t="str">
        <x:v>Day Camp</x:v>
      </x:c>
      <x:c r="F279" s="22" t="str"/>
      <x:c r="G279" s="22" t="str"/>
      <x:c r="H279" s="24" t="n">
        <x:v>13</x:v>
      </x:c>
      <x:c r="I279" s="24" t="n">
        <x:v>2.5</x:v>
      </x:c>
      <x:c r="J279" s="25" t="n">
        <x:v>2.5</x:v>
      </x:c>
      <x:c r="K279" s="26" t="n">
        <x:v>14</x:v>
      </x:c>
      <x:c r="L279" s="26"/>
      <x:c r="M279" s="26"/>
      <x:c r="N279" s="26" t="n">
        <x:v>12</x:v>
      </x:c>
      <x:c r="O279" s="26" t="n">
        <x:v>1</x:v>
      </x:c>
      <x:c r="P279" s="26"/>
      <x:c r="Q279" s="26" t="n">
        <x:v>1</x:v>
      </x:c>
      <x:c r="R279" s="26"/>
      <x:c r="S279" s="26"/>
      <x:c r="T279" s="26"/>
      <x:c r="U279" s="26"/>
      <x:c r="V279" s="26" t="n">
        <x:v>28</x:v>
      </x:c>
    </x:row>
    <x:row r="280">
      <x:c r="A280" s="22" t="str">
        <x:v>June</x:v>
      </x:c>
      <x:c r="B280" s="23" t="n">
        <x:v>45813</x:v>
      </x:c>
      <x:c r="C280" s="23" t="n">
        <x:v>45813</x:v>
      </x:c>
      <x:c r="D280" s="22" t="str">
        <x:v>Horse Camp Group 4</x:v>
      </x:c>
      <x:c r="E280" s="22" t="str">
        <x:v>Day Camp</x:v>
      </x:c>
      <x:c r="F280" s="22" t="str"/>
      <x:c r="G280" s="22" t="str"/>
      <x:c r="H280" s="24" t="n">
        <x:v>13</x:v>
      </x:c>
      <x:c r="I280" s="24" t="n">
        <x:v>2.5</x:v>
      </x:c>
      <x:c r="J280" s="25" t="n">
        <x:v>2.5</x:v>
      </x:c>
      <x:c r="K280" s="26"/>
      <x:c r="L280" s="26"/>
      <x:c r="M280" s="26"/>
      <x:c r="N280" s="26" t="n">
        <x:v>12</x:v>
      </x:c>
      <x:c r="O280" s="26"/>
      <x:c r="P280" s="26"/>
      <x:c r="Q280" s="26" t="n">
        <x:v>2</x:v>
      </x:c>
      <x:c r="R280" s="26" t="n">
        <x:v>1</x:v>
      </x:c>
      <x:c r="S280" s="26"/>
      <x:c r="T280" s="26"/>
      <x:c r="U280" s="26" t="n">
        <x:v>1</x:v>
      </x:c>
      <x:c r="V280" s="26" t="n">
        <x:v>16</x:v>
      </x:c>
    </x:row>
    <x:row r="281">
      <x:c r="A281" s="22" t="str">
        <x:v>July</x:v>
      </x:c>
      <x:c r="B281" s="23" t="n">
        <x:v>45839</x:v>
      </x:c>
      <x:c r="C281" s="23" t="n">
        <x:v>45839</x:v>
      </x:c>
      <x:c r="D281" s="22" t="str">
        <x:v>TAG Concert Series 1</x:v>
      </x:c>
      <x:c r="E281" s="22" t="str">
        <x:v>Family Days and Military Appreciation Events</x:v>
      </x:c>
      <x:c r="F281" s="22" t="str"/>
      <x:c r="G281" s="22" t="str"/>
      <x:c r="H281" s="24" t="n">
        <x:v>2</x:v>
      </x:c>
      <x:c r="I281" s="24" t="n">
        <x:v>3.5</x:v>
      </x:c>
      <x:c r="J281" s="25" t="n">
        <x:v>3</x:v>
      </x:c>
      <x:c r="K281" s="26"/>
      <x:c r="L281" s="26"/>
      <x:c r="M281" s="26"/>
      <x:c r="N281" s="26" t="n">
        <x:v>55</x:v>
      </x:c>
      <x:c r="O281" s="26"/>
      <x:c r="P281" s="26"/>
      <x:c r="Q281" s="26" t="n">
        <x:v>7</x:v>
      </x:c>
      <x:c r="R281" s="26"/>
      <x:c r="S281" s="26"/>
      <x:c r="T281" s="26"/>
      <x:c r="U281" s="26" t="n">
        <x:v>5</x:v>
      </x:c>
      <x:c r="V281" s="26" t="n">
        <x:v>67</x:v>
      </x:c>
    </x:row>
    <x:row r="282">
      <x:c r="A282" s="22" t="str">
        <x:v>July</x:v>
      </x:c>
      <x:c r="B282" s="23" t="n">
        <x:v>45852</x:v>
      </x:c>
      <x:c r="C282" s="23" t="n">
        <x:v>45856</x:v>
      </x:c>
      <x:c r="D282" s="22" t="str">
        <x:v>Region 7 Symposium</x:v>
      </x:c>
      <x:c r="E282" s="22" t="str">
        <x:v>Regional Symposium</x:v>
      </x:c>
      <x:c r="F282" s="22" t="str"/>
      <x:c r="G282" s="22" t="str"/>
      <x:c r="H282" s="24"/>
      <x:c r="I282" s="24"/>
      <x:c r="J282" s="25" t="n">
        <x:v>46.25</x:v>
      </x:c>
      <x:c r="K282" s="26" t="n">
        <x:v>6</x:v>
      </x:c>
      <x:c r="L282" s="26"/>
      <x:c r="M282" s="26"/>
      <x:c r="N282" s="26"/>
      <x:c r="O282" s="26"/>
      <x:c r="P282" s="26"/>
      <x:c r="Q282" s="26" t="n">
        <x:v>9</x:v>
      </x:c>
      <x:c r="R282" s="26"/>
      <x:c r="S282" s="26"/>
      <x:c r="T282" s="26"/>
      <x:c r="U282" s="26"/>
      <x:c r="V282" s="26" t="n">
        <x:v>15</x:v>
      </x:c>
    </x:row>
    <x:row r="283">
      <x:c r="A283" s="22" t="str">
        <x:v>July</x:v>
      </x:c>
      <x:c r="B283" s="23" t="n">
        <x:v>45853</x:v>
      </x:c>
      <x:c r="C283" s="23" t="n">
        <x:v>45853</x:v>
      </x:c>
      <x:c r="D283" s="22" t="str">
        <x:v>TAG Concert Series 2</x:v>
      </x:c>
      <x:c r="E283" s="22" t="str">
        <x:v>Family Days and Military Appreciation Events</x:v>
      </x:c>
      <x:c r="F283" s="22" t="str"/>
      <x:c r="G283" s="22" t="str"/>
      <x:c r="H283" s="24"/>
      <x:c r="I283" s="24"/>
      <x:c r="J283" s="25" t="n">
        <x:v>3</x:v>
      </x:c>
      <x:c r="K283" s="26"/>
      <x:c r="L283" s="26"/>
      <x:c r="M283" s="26"/>
      <x:c r="N283" s="26" t="n">
        <x:v>17</x:v>
      </x:c>
      <x:c r="O283" s="26"/>
      <x:c r="P283" s="26"/>
      <x:c r="Q283" s="26" t="n">
        <x:v>5</x:v>
      </x:c>
      <x:c r="R283" s="26"/>
      <x:c r="S283" s="26"/>
      <x:c r="T283" s="26"/>
      <x:c r="U283" s="26"/>
      <x:c r="V283" s="26" t="n">
        <x:v>22</x:v>
      </x:c>
    </x:row>
    <x:row r="284">
      <x:c r="A284" s="22" t="str">
        <x:v>July</x:v>
      </x:c>
      <x:c r="B284" s="23" t="n">
        <x:v>45858</x:v>
      </x:c>
      <x:c r="C284" s="23" t="n">
        <x:v>45858</x:v>
      </x:c>
      <x:c r="D284" s="22" t="str">
        <x:v>Iowa City 1133rd Unit Family Day</x:v>
      </x:c>
      <x:c r="E284" s="22" t="str">
        <x:v>Family Days and Military Appreciation Events</x:v>
      </x:c>
      <x:c r="F284" s="22" t="str"/>
      <x:c r="G284" s="22" t="str"/>
      <x:c r="H284" s="24" t="n">
        <x:v>1</x:v>
      </x:c>
      <x:c r="I284" s="24" t="n">
        <x:v>2</x:v>
      </x:c>
      <x:c r="J284" s="25" t="n">
        <x:v>0.5</x:v>
      </x:c>
      <x:c r="K284" s="26" t="n">
        <x:v>56</x:v>
      </x:c>
      <x:c r="L284" s="26"/>
      <x:c r="M284" s="26"/>
      <x:c r="N284" s="26" t="n">
        <x:v>8</x:v>
      </x:c>
      <x:c r="O284" s="26"/>
      <x:c r="P284" s="26"/>
      <x:c r="Q284" s="26" t="n">
        <x:v>15</x:v>
      </x:c>
      <x:c r="R284" s="26"/>
      <x:c r="S284" s="26"/>
      <x:c r="T284" s="26"/>
      <x:c r="U284" s="26" t="n">
        <x:v>8</x:v>
      </x:c>
      <x:c r="V284" s="26" t="n">
        <x:v>87</x:v>
      </x:c>
    </x:row>
    <x:row r="285">
      <x:c r="A285" s="22" t="str">
        <x:v>July</x:v>
      </x:c>
      <x:c r="B285" s="23" t="n">
        <x:v>45858</x:v>
      </x:c>
      <x:c r="C285" s="23" t="n">
        <x:v>45864</x:v>
      </x:c>
      <x:c r="D285" s="22" t="str">
        <x:v>Summer Camp</x:v>
      </x:c>
      <x:c r="E285" s="22" t="str">
        <x:v>Youth Symposium</x:v>
      </x:c>
      <x:c r="F285" s="22" t="str"/>
      <x:c r="G285" s="22" t="str"/>
      <x:c r="H285" s="24" t="n">
        <x:v>21</x:v>
      </x:c>
      <x:c r="I285" s="24" t="n">
        <x:v>86</x:v>
      </x:c>
      <x:c r="J285" s="25" t="n">
        <x:v>84</x:v>
      </x:c>
      <x:c r="K285" s="26" t="n">
        <x:v>0</x:v>
      </x:c>
      <x:c r="L285" s="26"/>
      <x:c r="M285" s="26"/>
      <x:c r="N285" s="26" t="n">
        <x:v>34</x:v>
      </x:c>
      <x:c r="O285" s="26"/>
      <x:c r="P285" s="26"/>
      <x:c r="Q285" s="26" t="n">
        <x:v>45</x:v>
      </x:c>
      <x:c r="R285" s="26" t="n">
        <x:v>1</x:v>
      </x:c>
      <x:c r="S285" s="26"/>
      <x:c r="T285" s="26"/>
      <x:c r="U285" s="26"/>
      <x:c r="V285" s="26" t="n">
        <x:v>80</x:v>
      </x:c>
    </x:row>
    <x:row r="286">
      <x:c r="A286" s="22" t="str">
        <x:v>July</x:v>
      </x:c>
      <x:c r="B286" s="23" t="n">
        <x:v>45858</x:v>
      </x:c>
      <x:c r="C286" s="23" t="n">
        <x:v>45858</x:v>
      </x:c>
      <x:c r="D286" s="22" t="str">
        <x:v>Volunteer Training</x:v>
      </x:c>
      <x:c r="E286" s="22" t="str">
        <x:v>Volunteer Training</x:v>
      </x:c>
      <x:c r="F286" s="22" t="str"/>
      <x:c r="G286" s="22" t="str"/>
      <x:c r="H286" s="24"/>
      <x:c r="I286" s="24"/>
      <x:c r="J286" s="25" t="n">
        <x:v>1</x:v>
      </x:c>
      <x:c r="K286" s="26" t="n">
        <x:v>21</x:v>
      </x:c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 t="n">
        <x:v>21</x:v>
      </x:c>
    </x:row>
    <x:row r="287">
      <x:c r="A287" s="22" t="str">
        <x:v>July</x:v>
      </x:c>
      <x:c r="B287" s="23" t="n">
        <x:v>45867</x:v>
      </x:c>
      <x:c r="C287" s="23" t="n">
        <x:v>45867</x:v>
      </x:c>
      <x:c r="D287" s="22" t="str">
        <x:v>TAG Concert Series 3</x:v>
      </x:c>
      <x:c r="E287" s="22" t="str">
        <x:v>Family Days and Military Appreciation Events</x:v>
      </x:c>
      <x:c r="F287" s="22" t="str"/>
      <x:c r="G287" s="22" t="str"/>
      <x:c r="H287" s="24" t="n">
        <x:v>2</x:v>
      </x:c>
      <x:c r="I287" s="24" t="n">
        <x:v>2.5</x:v>
      </x:c>
      <x:c r="J287" s="25" t="n">
        <x:v>2</x:v>
      </x:c>
      <x:c r="K287" s="26"/>
      <x:c r="L287" s="26"/>
      <x:c r="M287" s="26"/>
      <x:c r="N287" s="26" t="n">
        <x:v>7</x:v>
      </x:c>
      <x:c r="O287" s="26"/>
      <x:c r="P287" s="26"/>
      <x:c r="Q287" s="26" t="n">
        <x:v>8</x:v>
      </x:c>
      <x:c r="R287" s="26"/>
      <x:c r="S287" s="26"/>
      <x:c r="T287" s="26"/>
      <x:c r="U287" s="26"/>
      <x:c r="V287" s="26" t="n">
        <x:v>15</x:v>
      </x:c>
    </x:row>
    <x:row r="288">
      <x:c r="A288" s="22" t="str">
        <x:v>August</x:v>
      </x:c>
      <x:c r="B288" s="23" t="n">
        <x:v>45899</x:v>
      </x:c>
      <x:c r="C288" s="23" t="n">
        <x:v>45899</x:v>
      </x:c>
      <x:c r="D288" s="22" t="str">
        <x:v>SOS Retreat </x:v>
      </x:c>
      <x:c r="E288" s="22" t="str">
        <x:v>Gold Star Training/Event</x:v>
      </x:c>
      <x:c r="F288" s="22" t="str"/>
      <x:c r="G288" s="22" t="str"/>
      <x:c r="H288" s="24" t="n">
        <x:v>1</x:v>
      </x:c>
      <x:c r="I288" s="24" t="n">
        <x:v>9</x:v>
      </x:c>
      <x:c r="J288" s="25" t="n">
        <x:v>9</x:v>
      </x:c>
      <x:c r="K288" s="26"/>
      <x:c r="L288" s="26"/>
      <x:c r="M288" s="26"/>
      <x:c r="N288" s="26" t="n">
        <x:v>13</x:v>
      </x:c>
      <x:c r="O288" s="26"/>
      <x:c r="P288" s="26"/>
      <x:c r="Q288" s="26" t="n">
        <x:v>5</x:v>
      </x:c>
      <x:c r="R288" s="26"/>
      <x:c r="S288" s="26"/>
      <x:c r="T288" s="26"/>
      <x:c r="U288" s="26"/>
      <x:c r="V288" s="26" t="n">
        <x:v>18</x:v>
      </x:c>
    </x:row>
    <x:row r="289">
      <x:c r="A289" s="22" t="str">
        <x:v>September</x:v>
      </x:c>
      <x:c r="B289" s="23" t="n">
        <x:v>45909</x:v>
      </x:c>
      <x:c r="C289" s="23" t="n">
        <x:v>45909</x:v>
      </x:c>
      <x:c r="D289" s="22" t="str">
        <x:v>Resource Fair</x:v>
      </x:c>
      <x:c r="E289" s="22" t="str">
        <x:v>Command/Unit/FRG Briefings</x:v>
      </x:c>
      <x:c r="F289" s="22" t="str"/>
      <x:c r="G289" s="22" t="str"/>
      <x:c r="H289" s="24"/>
      <x:c r="I289" s="24"/>
      <x:c r="J289" s="25" t="n">
        <x:v>1.5</x:v>
      </x:c>
      <x:c r="K289" s="26" t="n">
        <x:v>150</x:v>
      </x:c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 t="n">
        <x:v>150</x:v>
      </x:c>
    </x:row>
    <x:row r="290">
      <x:c r="A290" s="22" t="str">
        <x:v>October</x:v>
      </x:c>
      <x:c r="B290" s="23" t="n">
        <x:v>45955</x:v>
      </x:c>
      <x:c r="C290" s="23" t="n">
        <x:v>45955</x:v>
      </x:c>
      <x:c r="D290" s="22" t="str">
        <x:v>Fall Family Festival</x:v>
      </x:c>
      <x:c r="E290" s="22" t="str">
        <x:v>Family Days and Military Appreciation Events</x:v>
      </x:c>
      <x:c r="F290" s="22" t="str"/>
      <x:c r="G290" s="22" t="str"/>
      <x:c r="H290" s="24" t="n">
        <x:v>113</x:v>
      </x:c>
      <x:c r="I290" s="24" t="n">
        <x:v>4</x:v>
      </x:c>
      <x:c r="J290" s="25" t="n">
        <x:v>2</x:v>
      </x:c>
      <x:c r="K290" s="26" t="n">
        <x:v>137</x:v>
      </x:c>
      <x:c r="L290" s="26" t="n">
        <x:v>14</x:v>
      </x:c>
      <x:c r="M290" s="26" t="n">
        <x:v>30</x:v>
      </x:c>
      <x:c r="N290" s="26" t="n">
        <x:v>104</x:v>
      </x:c>
      <x:c r="O290" s="26" t="n">
        <x:v>11</x:v>
      </x:c>
      <x:c r="P290" s="26" t="n">
        <x:v>3</x:v>
      </x:c>
      <x:c r="Q290" s="26" t="n">
        <x:v>31</x:v>
      </x:c>
      <x:c r="R290" s="26" t="n">
        <x:v>3</x:v>
      </x:c>
      <x:c r="S290" s="26" t="n">
        <x:v>6</x:v>
      </x:c>
      <x:c r="T290" s="26"/>
      <x:c r="U290" s="26" t="n">
        <x:v>42</x:v>
      </x:c>
      <x:c r="V290" s="26" t="n">
        <x:v>381</x:v>
      </x:c>
    </x:row>
    <x:row r="291">
      <x:c r="A291" s="22" t="str">
        <x:v>October</x:v>
      </x:c>
      <x:c r="B291" s="23" t="n">
        <x:v>45955</x:v>
      </x:c>
      <x:c r="C291" s="23" t="n">
        <x:v>45955</x:v>
      </x:c>
      <x:c r="D291" s="22" t="str">
        <x:v>State Teen Panel </x:v>
      </x:c>
      <x:c r="E291" s="22" t="str">
        <x:v>Teen Council Meeting or Training</x:v>
      </x:c>
      <x:c r="F291" s="22" t="str"/>
      <x:c r="G291" s="22" t="str"/>
      <x:c r="H291" s="24"/>
      <x:c r="I291" s="24"/>
      <x:c r="J291" s="25" t="n">
        <x:v>4</x:v>
      </x:c>
      <x:c r="K291" s="26"/>
      <x:c r="L291" s="26"/>
      <x:c r="M291" s="26"/>
      <x:c r="N291" s="26" t="n">
        <x:v>6</x:v>
      </x:c>
      <x:c r="O291" s="26"/>
      <x:c r="P291" s="26"/>
      <x:c r="Q291" s="26"/>
      <x:c r="R291" s="26"/>
      <x:c r="S291" s="26"/>
      <x:c r="T291" s="26"/>
      <x:c r="U291" s="26"/>
      <x:c r="V291" s="26" t="n">
        <x:v>6</x:v>
      </x:c>
    </x:row>
    <x:row r="292">
      <x:c r="A292" s="22" t="str">
        <x:v>October</x:v>
      </x:c>
      <x:c r="B292" s="23" t="n">
        <x:v>45955</x:v>
      </x:c>
      <x:c r="C292" s="23" t="n">
        <x:v>45955</x:v>
      </x:c>
      <x:c r="D292" s="22" t="str">
        <x:v>Volunteer Training</x:v>
      </x:c>
      <x:c r="E292" s="22" t="str">
        <x:v>Volunteer Training</x:v>
      </x:c>
      <x:c r="F292" s="22" t="str"/>
      <x:c r="G292" s="22" t="str"/>
      <x:c r="H292" s="24"/>
      <x:c r="I292" s="24"/>
      <x:c r="J292" s="25" t="n">
        <x:v>1</x:v>
      </x:c>
      <x:c r="K292" s="26" t="n">
        <x:v>24</x:v>
      </x:c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 t="n">
        <x:v>24</x:v>
      </x:c>
    </x:row>
    <x:row r="293">
      <x:c r="A293" s="22" t="str">
        <x:v>December</x:v>
      </x:c>
      <x:c r="B293" s="23" t="n">
        <x:v>45997</x:v>
      </x:c>
      <x:c r="C293" s="23" t="n">
        <x:v>45997</x:v>
      </x:c>
      <x:c r="D293" s="22" t="str">
        <x:v>Camp Dodge Training Center</x:v>
      </x:c>
      <x:c r="E293" s="22" t="str">
        <x:v>Family Days and Military Appreciation Events</x:v>
      </x:c>
      <x:c r="F293" s="22" t="str"/>
      <x:c r="G293" s="22" t="str"/>
      <x:c r="H293" s="24" t="n">
        <x:v>2</x:v>
      </x:c>
      <x:c r="I293" s="24" t="n">
        <x:v>4</x:v>
      </x:c>
      <x:c r="J293" s="25" t="n">
        <x:v>2</x:v>
      </x:c>
      <x:c r="K293" s="26" t="n">
        <x:v>90</x:v>
      </x:c>
      <x:c r="L293" s="26"/>
      <x:c r="M293" s="26"/>
      <x:c r="N293" s="26" t="n">
        <x:v>69</x:v>
      </x:c>
      <x:c r="O293" s="26"/>
      <x:c r="P293" s="26"/>
      <x:c r="Q293" s="26" t="n">
        <x:v>20</x:v>
      </x:c>
      <x:c r="R293" s="26"/>
      <x:c r="S293" s="26"/>
      <x:c r="T293" s="26"/>
      <x:c r="U293" s="26"/>
      <x:c r="V293" s="26" t="n">
        <x:v>179</x:v>
      </x:c>
    </x:row>
    <x:row r="294">
      <x:c r="A294" s="22" t="str">
        <x:v>December</x:v>
      </x:c>
      <x:c r="B294" s="23" t="n">
        <x:v>45998</x:v>
      </x:c>
      <x:c r="C294" s="23" t="n">
        <x:v>45998</x:v>
      </x:c>
      <x:c r="D294" s="22" t="str">
        <x:v>HHC 185 CSSB</x:v>
      </x:c>
      <x:c r="E294" s="22" t="str">
        <x:v>Family Days and Military Appreciation Events</x:v>
      </x:c>
      <x:c r="F294" s="22" t="str"/>
      <x:c r="G294" s="22" t="str"/>
      <x:c r="H294" s="24" t="n">
        <x:v>2</x:v>
      </x:c>
      <x:c r="I294" s="24" t="n">
        <x:v>4</x:v>
      </x:c>
      <x:c r="J294" s="25" t="n">
        <x:v>2</x:v>
      </x:c>
      <x:c r="K294" s="26" t="n">
        <x:v>63</x:v>
      </x:c>
      <x:c r="L294" s="26"/>
      <x:c r="M294" s="26"/>
      <x:c r="N294" s="26" t="n">
        <x:v>48</x:v>
      </x:c>
      <x:c r="O294" s="26"/>
      <x:c r="P294" s="26"/>
      <x:c r="Q294" s="26" t="n">
        <x:v>14</x:v>
      </x:c>
      <x:c r="R294" s="26"/>
      <x:c r="S294" s="26"/>
      <x:c r="T294" s="26"/>
      <x:c r="U294" s="26"/>
      <x:c r="V294" s="26" t="n">
        <x:v>125</x:v>
      </x:c>
    </x:row>
    <x:row r="295">
      <x:c r="A295" s="22" t="str">
        <x:v>December</x:v>
      </x:c>
      <x:c r="B295" s="23" t="n">
        <x:v>45998</x:v>
      </x:c>
      <x:c r="C295" s="23" t="n">
        <x:v>45998</x:v>
      </x:c>
      <x:c r="D295" s="22" t="str">
        <x:v>734 RSG</x:v>
      </x:c>
      <x:c r="E295" s="22" t="str">
        <x:v>Family Days and Military Appreciation Events</x:v>
      </x:c>
      <x:c r="F295" s="22" t="str"/>
      <x:c r="G295" s="22" t="str"/>
      <x:c r="H295" s="24" t="n">
        <x:v>2</x:v>
      </x:c>
      <x:c r="I295" s="24" t="n">
        <x:v>4</x:v>
      </x:c>
      <x:c r="J295" s="25" t="n">
        <x:v>2</x:v>
      </x:c>
      <x:c r="K295" s="26" t="n">
        <x:v>133</x:v>
      </x:c>
      <x:c r="L295" s="26"/>
      <x:c r="M295" s="26"/>
      <x:c r="N295" s="26" t="n">
        <x:v>101</x:v>
      </x:c>
      <x:c r="O295" s="26"/>
      <x:c r="P295" s="26"/>
      <x:c r="Q295" s="26" t="n">
        <x:v>30</x:v>
      </x:c>
      <x:c r="R295" s="26"/>
      <x:c r="S295" s="26"/>
      <x:c r="T295" s="26"/>
      <x:c r="U295" s="26"/>
      <x:c r="V295" s="26" t="n">
        <x:v>264</x:v>
      </x:c>
    </x:row>
    <x:row r="296">
      <x:c r="A296" s="22" t="str">
        <x:v>December</x:v>
      </x:c>
      <x:c r="B296" s="23" t="n">
        <x:v>46000</x:v>
      </x:c>
      <x:c r="C296" s="23" t="n">
        <x:v>46000</x:v>
      </x:c>
      <x:c r="D296" s="22" t="str">
        <x:v>Resource Fair</x:v>
      </x:c>
      <x:c r="E296" s="22" t="str">
        <x:v>Command/Unit/FRG Briefings</x:v>
      </x:c>
      <x:c r="F296" s="22" t="str"/>
      <x:c r="G296" s="22" t="str"/>
      <x:c r="H296" s="24"/>
      <x:c r="I296" s="24"/>
      <x:c r="J296" s="25" t="n">
        <x:v>1</x:v>
      </x:c>
      <x:c r="K296" s="26" t="n">
        <x:v>25</x:v>
      </x:c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 t="n">
        <x:v>25</x:v>
      </x:c>
    </x:row>
    <x:row r="297">
      <x:c r="A297" s="22" t="str">
        <x:v>December</x:v>
      </x:c>
      <x:c r="B297" s="23" t="n">
        <x:v>46004</x:v>
      </x:c>
      <x:c r="C297" s="23" t="n">
        <x:v>46004</x:v>
      </x:c>
      <x:c r="D297" s="22" t="str">
        <x:v>Cookies with Santa</x:v>
      </x:c>
      <x:c r="E297" s="22" t="str">
        <x:v>Family Days and Military Appreciation Events</x:v>
      </x:c>
      <x:c r="F297" s="22" t="str"/>
      <x:c r="G297" s="22" t="str"/>
      <x:c r="H297" s="24" t="n">
        <x:v>5</x:v>
      </x:c>
      <x:c r="I297" s="24" t="n">
        <x:v>2.5</x:v>
      </x:c>
      <x:c r="J297" s="25" t="n">
        <x:v>1.5</x:v>
      </x:c>
      <x:c r="K297" s="26" t="n">
        <x:v>39</x:v>
      </x:c>
      <x:c r="L297" s="26"/>
      <x:c r="M297" s="26"/>
      <x:c r="N297" s="26" t="n">
        <x:v>3</x:v>
      </x:c>
      <x:c r="O297" s="26"/>
      <x:c r="P297" s="26"/>
      <x:c r="Q297" s="26" t="n">
        <x:v>9</x:v>
      </x:c>
      <x:c r="R297" s="26"/>
      <x:c r="S297" s="26"/>
      <x:c r="T297" s="26"/>
      <x:c r="U297" s="26" t="n">
        <x:v>10</x:v>
      </x:c>
      <x:c r="V297" s="26" t="n">
        <x:v>61</x:v>
      </x:c>
    </x:row>
    <x:row r="298">
      <x:c r="A298" s="22" t="str">
        <x:v>December</x:v>
      </x:c>
      <x:c r="B298" s="23" t="n">
        <x:v>46004</x:v>
      </x:c>
      <x:c r="C298" s="23" t="n">
        <x:v>46004</x:v>
      </x:c>
      <x:c r="D298" s="22" t="str">
        <x:v>STP Meeting</x:v>
      </x:c>
      <x:c r="E298" s="22" t="str">
        <x:v>Teen Council Meeting or Training</x:v>
      </x:c>
      <x:c r="F298" s="22" t="str"/>
      <x:c r="G298" s="22" t="str"/>
      <x:c r="H298" s="24"/>
      <x:c r="I298" s="24"/>
      <x:c r="J298" s="25" t="n">
        <x:v>2.5</x:v>
      </x:c>
      <x:c r="K298" s="26"/>
      <x:c r="L298" s="26"/>
      <x:c r="M298" s="26"/>
      <x:c r="N298" s="26"/>
      <x:c r="O298" s="26"/>
      <x:c r="P298" s="26"/>
      <x:c r="Q298" s="26" t="n">
        <x:v>3</x:v>
      </x:c>
      <x:c r="R298" s="26"/>
      <x:c r="S298" s="26"/>
      <x:c r="T298" s="26"/>
      <x:c r="U298" s="26"/>
      <x:c r="V298" s="26" t="n">
        <x:v>3</x:v>
      </x:c>
    </x:row>
    <x:row r="299">
      <x:c r="A299" s="22" t="str">
        <x:v>January</x:v>
      </x:c>
      <x:c r="B299" s="23" t="n">
        <x:v>46040</x:v>
      </x:c>
      <x:c r="C299" s="23" t="n">
        <x:v>46040</x:v>
      </x:c>
      <x:c r="D299" s="22" t="str">
        <x:v>MFE Davenport</x:v>
      </x:c>
      <x:c r="E299" s="22" t="str">
        <x:v>Day Camp</x:v>
      </x:c>
      <x:c r="F299" s="22" t="str"/>
      <x:c r="G299" s="22" t="str"/>
      <x:c r="H299" s="24" t="n">
        <x:v>1</x:v>
      </x:c>
      <x:c r="I299" s="24" t="n">
        <x:v>2</x:v>
      </x:c>
      <x:c r="J299" s="25" t="n">
        <x:v>2</x:v>
      </x:c>
      <x:c r="K299" s="26" t="n">
        <x:v>18</x:v>
      </x:c>
      <x:c r="L299" s="26"/>
      <x:c r="M299" s="26"/>
      <x:c r="N299" s="26" t="n">
        <x:v>22</x:v>
      </x:c>
      <x:c r="O299" s="26"/>
      <x:c r="P299" s="26"/>
      <x:c r="Q299" s="26" t="n">
        <x:v>7</x:v>
      </x:c>
      <x:c r="R299" s="26"/>
      <x:c r="S299" s="26"/>
      <x:c r="T299" s="26"/>
      <x:c r="U299" s="26" t="n">
        <x:v>5</x:v>
      </x:c>
      <x:c r="V299" s="26" t="n">
        <x:v>52</x:v>
      </x:c>
    </x:row>
    <x:row r="300">
      <x:c r="A300" s="22" t="str">
        <x:v>February</x:v>
      </x:c>
      <x:c r="B300" s="23" t="n">
        <x:v>46068</x:v>
      </x:c>
      <x:c r="C300" s="23" t="n">
        <x:v>46068</x:v>
      </x:c>
      <x:c r="D300" s="22" t="str">
        <x:v>MFE: Cedar Rapids</x:v>
      </x:c>
      <x:c r="E300" s="22" t="str">
        <x:v>Family Days and Military Appreciation Events</x:v>
      </x:c>
      <x:c r="F300" s="22" t="str"/>
      <x:c r="G300" s="22" t="str"/>
      <x:c r="H300" s="24"/>
      <x:c r="I300" s="24"/>
      <x:c r="J300" s="25" t="n">
        <x:v>2</x:v>
      </x:c>
      <x:c r="K300" s="26" t="n">
        <x:v>12</x:v>
      </x:c>
      <x:c r="L300" s="26"/>
      <x:c r="M300" s="26"/>
      <x:c r="N300" s="26" t="n">
        <x:v>11</x:v>
      </x:c>
      <x:c r="O300" s="26"/>
      <x:c r="P300" s="26"/>
      <x:c r="Q300" s="26" t="n">
        <x:v>4</x:v>
      </x:c>
      <x:c r="R300" s="26"/>
      <x:c r="S300" s="26"/>
      <x:c r="T300" s="26"/>
      <x:c r="U300" s="26"/>
      <x:c r="V300" s="26" t="n">
        <x:v>27</x:v>
      </x:c>
    </x:row>
    <x:row r="301">
      <x:c r="A301" s="22" t="str">
        <x:v>March</x:v>
      </x:c>
      <x:c r="B301" s="23" t="n">
        <x:v>46082</x:v>
      </x:c>
      <x:c r="C301" s="23" t="n">
        <x:v>46082</x:v>
      </x:c>
      <x:c r="D301" s="22" t="str">
        <x:v>Welcome Event Council Bluffs</x:v>
      </x:c>
      <x:c r="E301" s="22" t="str">
        <x:v>Yellow Ribbon Briefing and Programming</x:v>
      </x:c>
      <x:c r="F301" s="22" t="str"/>
      <x:c r="G301" s="22" t="str"/>
      <x:c r="H301" s="24" t="n">
        <x:v>2</x:v>
      </x:c>
      <x:c r="I301" s="24" t="n">
        <x:v>3</x:v>
      </x:c>
      <x:c r="J301" s="25" t="n">
        <x:v>1.5</x:v>
      </x:c>
      <x:c r="K301" s="26" t="n">
        <x:v>60</x:v>
      </x:c>
      <x:c r="L301" s="26"/>
      <x:c r="M301" s="26"/>
      <x:c r="N301" s="26" t="n">
        <x:v>11</x:v>
      </x:c>
      <x:c r="O301" s="26"/>
      <x:c r="P301" s="26"/>
      <x:c r="Q301" s="26" t="n">
        <x:v>3</x:v>
      </x:c>
      <x:c r="R301" s="26"/>
      <x:c r="S301" s="26"/>
      <x:c r="T301" s="26"/>
      <x:c r="U301" s="26" t="n">
        <x:v>4</x:v>
      </x:c>
      <x:c r="V301" s="26" t="n">
        <x:v>78</x:v>
      </x:c>
    </x:row>
    <x:row r="302">
      <x:c r="A302" s="22" t="str">
        <x:v>March</x:v>
      </x:c>
      <x:c r="B302" s="23" t="n">
        <x:v>46082</x:v>
      </x:c>
      <x:c r="C302" s="23" t="n">
        <x:v>46082</x:v>
      </x:c>
      <x:c r="D302" s="22" t="str">
        <x:v>Welcome Home Camp Dodge</x:v>
      </x:c>
      <x:c r="E302" s="22" t="str">
        <x:v>Yellow Ribbon Briefing and Programming</x:v>
      </x:c>
      <x:c r="F302" s="22" t="str"/>
      <x:c r="G302" s="22" t="str"/>
      <x:c r="H302" s="24" t="n">
        <x:v>2</x:v>
      </x:c>
      <x:c r="I302" s="24" t="n">
        <x:v>3</x:v>
      </x:c>
      <x:c r="J302" s="25" t="n">
        <x:v>1.5</x:v>
      </x:c>
      <x:c r="K302" s="26" t="n">
        <x:v>30</x:v>
      </x:c>
      <x:c r="L302" s="26"/>
      <x:c r="M302" s="26"/>
      <x:c r="N302" s="26" t="n">
        <x:v>5</x:v>
      </x:c>
      <x:c r="O302" s="26"/>
      <x:c r="P302" s="26"/>
      <x:c r="Q302" s="26" t="n">
        <x:v>1</x:v>
      </x:c>
      <x:c r="R302" s="26"/>
      <x:c r="S302" s="26"/>
      <x:c r="T302" s="26"/>
      <x:c r="U302" s="26" t="n">
        <x:v>2</x:v>
      </x:c>
      <x:c r="V302" s="26" t="n">
        <x:v>38</x:v>
      </x:c>
    </x:row>
    <x:row r="303">
      <x:c r="A303" s="22" t="str">
        <x:v>March</x:v>
      </x:c>
      <x:c r="B303" s="23" t="n">
        <x:v>46087</x:v>
      </x:c>
      <x:c r="C303" s="23" t="n">
        <x:v>46089</x:v>
      </x:c>
      <x:c r="D303" s="22" t="str">
        <x:v>STP Retreat</x:v>
      </x:c>
      <x:c r="E303" s="22" t="str">
        <x:v>Youth Symposium</x:v>
      </x:c>
      <x:c r="F303" s="22" t="str"/>
      <x:c r="G303" s="22" t="str"/>
      <x:c r="H303" s="24" t="n">
        <x:v>6</x:v>
      </x:c>
      <x:c r="I303" s="24" t="n">
        <x:v>10</x:v>
      </x:c>
      <x:c r="J303" s="25" t="n">
        <x:v>28.5</x:v>
      </x:c>
      <x:c r="K303" s="26" t="n">
        <x:v>3</x:v>
      </x:c>
      <x:c r="L303" s="26"/>
      <x:c r="M303" s="26"/>
      <x:c r="N303" s="26"/>
      <x:c r="O303" s="26"/>
      <x:c r="P303" s="26"/>
      <x:c r="Q303" s="26" t="n">
        <x:v>6</x:v>
      </x:c>
      <x:c r="R303" s="26" t="n">
        <x:v>1</x:v>
      </x:c>
      <x:c r="S303" s="26"/>
      <x:c r="T303" s="26"/>
      <x:c r="U303" s="26"/>
      <x:c r="V303" s="26" t="n">
        <x:v>10</x:v>
      </x:c>
    </x:row>
    <x:row r="304">
      <x:c r="A304" s="22" t="str">
        <x:v>March</x:v>
      </x:c>
      <x:c r="B304" s="23" t="n">
        <x:v>46088</x:v>
      </x:c>
      <x:c r="C304" s="23" t="n">
        <x:v>46088</x:v>
      </x:c>
      <x:c r="D304" s="22" t="str">
        <x:v>MRT at STP Retreat</x:v>
      </x:c>
      <x:c r="E304" s="22" t="str">
        <x:v>MRT/Teen Resilience</x:v>
      </x:c>
      <x:c r="F304" s="22" t="str"/>
      <x:c r="G304" s="22" t="str"/>
      <x:c r="H304" s="24"/>
      <x:c r="I304" s="24"/>
      <x:c r="J304" s="25" t="n">
        <x:v>2</x:v>
      </x:c>
      <x:c r="K304" s="26" t="n">
        <x:v>2</x:v>
      </x:c>
      <x:c r="L304" s="26"/>
      <x:c r="M304" s="26"/>
      <x:c r="N304" s="26"/>
      <x:c r="O304" s="26"/>
      <x:c r="P304" s="26"/>
      <x:c r="Q304" s="26" t="n">
        <x:v>7</x:v>
      </x:c>
      <x:c r="R304" s="26"/>
      <x:c r="S304" s="26"/>
      <x:c r="T304" s="26"/>
      <x:c r="U304" s="26"/>
      <x:c r="V304" s="26" t="n">
        <x:v>9</x:v>
      </x:c>
    </x:row>
    <x:row r="305">
      <x:c r="A305" s="22" t="str">
        <x:v>April</x:v>
      </x:c>
      <x:c r="B305" s="23" t="n">
        <x:v>46113</x:v>
      </x:c>
      <x:c r="C305" s="23" t="n">
        <x:v>46113</x:v>
      </x:c>
      <x:c r="D305" s="22" t="str">
        <x:v>MOMC Proclamation Signing </x:v>
      </x:c>
      <x:c r="E305" s="22" t="str">
        <x:v>MOMC</x:v>
      </x:c>
      <x:c r="F305" s="22" t="str"/>
      <x:c r="G305" s="22" t="str"/>
      <x:c r="H305" s="24"/>
      <x:c r="I305" s="24"/>
      <x:c r="J305" s="25" t="n">
        <x:v>1.5</x:v>
      </x:c>
      <x:c r="K305" s="26" t="n">
        <x:v>17</x:v>
      </x:c>
      <x:c r="L305" s="26" t="n">
        <x:v>4</x:v>
      </x:c>
      <x:c r="M305" s="26" t="n">
        <x:v>2</x:v>
      </x:c>
      <x:c r="N305" s="26" t="n">
        <x:v>10</x:v>
      </x:c>
      <x:c r="O305" s="26" t="n">
        <x:v>4</x:v>
      </x:c>
      <x:c r="P305" s="26"/>
      <x:c r="Q305" s="26" t="n">
        <x:v>5</x:v>
      </x:c>
      <x:c r="R305" s="26"/>
      <x:c r="S305" s="26"/>
      <x:c r="T305" s="26" t="n">
        <x:v>5</x:v>
      </x:c>
      <x:c r="U305" s="26"/>
      <x:c r="V305" s="26" t="n">
        <x:v>47</x:v>
      </x:c>
    </x:row>
    <x:row r="306">
      <x:c r="A306" s="22" t="str">
        <x:v>April</x:v>
      </x:c>
      <x:c r="B306" s="23" t="n">
        <x:v>46113</x:v>
      </x:c>
      <x:c r="C306" s="23" t="n">
        <x:v>46113</x:v>
      </x:c>
      <x:c r="D306" s="22" t="str">
        <x:v>STP Summit</x:v>
      </x:c>
      <x:c r="E306" s="22" t="str">
        <x:v>Teen Council Meeting or Training</x:v>
      </x:c>
      <x:c r="F306" s="22" t="str"/>
      <x:c r="G306" s="22" t="str"/>
      <x:c r="H306" s="24"/>
      <x:c r="I306" s="24"/>
      <x:c r="J306" s="25" t="n">
        <x:v>2</x:v>
      </x:c>
      <x:c r="K306" s="26"/>
      <x:c r="L306" s="26"/>
      <x:c r="M306" s="26"/>
      <x:c r="N306" s="26"/>
      <x:c r="O306" s="26"/>
      <x:c r="P306" s="26"/>
      <x:c r="Q306" s="26" t="n">
        <x:v>2</x:v>
      </x:c>
      <x:c r="R306" s="26"/>
      <x:c r="S306" s="26"/>
      <x:c r="T306" s="26"/>
      <x:c r="U306" s="26"/>
      <x:c r="V306" s="26" t="n">
        <x:v>2</x:v>
      </x:c>
    </x:row>
    <x:row r="307">
      <x:c r="A307" s="22" t="str">
        <x:v>April</x:v>
      </x:c>
      <x:c r="B307" s="23" t="n">
        <x:v>46116</x:v>
      </x:c>
      <x:c r="C307" s="23" t="n">
        <x:v>46116</x:v>
      </x:c>
      <x:c r="D307" s="22" t="str">
        <x:v>Mission Possible: Top Secret Youth</x:v>
      </x:c>
      <x:c r="E307" s="22" t="str">
        <x:v>MOMC</x:v>
      </x:c>
      <x:c r="F307" s="22" t="str"/>
      <x:c r="G307" s="22" t="str"/>
      <x:c r="H307" s="24"/>
      <x:c r="I307" s="24"/>
      <x:c r="J307" s="25" t="n">
        <x:v>1.5</x:v>
      </x:c>
      <x:c r="K307" s="26"/>
      <x:c r="L307" s="26"/>
      <x:c r="M307" s="26"/>
      <x:c r="N307" s="26" t="n">
        <x:v>1</x:v>
      </x:c>
      <x:c r="O307" s="26"/>
      <x:c r="P307" s="26"/>
      <x:c r="Q307" s="26" t="n">
        <x:v>1</x:v>
      </x:c>
      <x:c r="R307" s="26"/>
      <x:c r="S307" s="26"/>
      <x:c r="T307" s="26"/>
      <x:c r="U307" s="26"/>
      <x:c r="V307" s="26" t="n">
        <x:v>2</x:v>
      </x:c>
    </x:row>
    <x:row r="308">
      <x:c r="A308" s="22" t="str">
        <x:v>April</x:v>
      </x:c>
      <x:c r="B308" s="23" t="n">
        <x:v>46120</x:v>
      </x:c>
      <x:c r="C308" s="23" t="n">
        <x:v>46124</x:v>
      </x:c>
      <x:c r="D308" s="22" t="str">
        <x:v>GTP Meeting</x:v>
      </x:c>
      <x:c r="E308" s="22" t="str">
        <x:v>Teen Council Meeting or Training</x:v>
      </x:c>
      <x:c r="F308" s="22" t="str"/>
      <x:c r="G308" s="22" t="str"/>
      <x:c r="H308" s="24"/>
      <x:c r="I308" s="24"/>
      <x:c r="J308" s="25" t="n">
        <x:v>16</x:v>
      </x:c>
      <x:c r="K308" s="26"/>
      <x:c r="L308" s="26"/>
      <x:c r="M308" s="26"/>
      <x:c r="N308" s="26"/>
      <x:c r="O308" s="26"/>
      <x:c r="P308" s="26"/>
      <x:c r="Q308" s="26" t="n">
        <x:v>1</x:v>
      </x:c>
      <x:c r="R308" s="26"/>
      <x:c r="S308" s="26"/>
      <x:c r="T308" s="26"/>
      <x:c r="U308" s="26"/>
      <x:c r="V308" s="26" t="n">
        <x:v>1</x:v>
      </x:c>
    </x:row>
    <x:row r="309">
      <x:c r="A309" s="22" t="str">
        <x:v>April</x:v>
      </x:c>
      <x:c r="B309" s="23" t="n">
        <x:v>46122</x:v>
      </x:c>
      <x:c r="C309" s="23" t="n">
        <x:v>46122</x:v>
      </x:c>
      <x:c r="D309" s="22" t="str">
        <x:v>Purple UP Classroom Kits</x:v>
      </x:c>
      <x:c r="E309" s="22" t="str">
        <x:v>MOMC</x:v>
      </x:c>
      <x:c r="F309" s="22" t="str"/>
      <x:c r="G309" s="22" t="str"/>
      <x:c r="H309" s="24" t="n">
        <x:v>8</x:v>
      </x:c>
      <x:c r="I309" s="24" t="n">
        <x:v>8</x:v>
      </x:c>
      <x:c r="J309" s="25" t="n">
        <x:v>1.5</x:v>
      </x:c>
      <x:c r="K309" s="26"/>
      <x:c r="L309" s="26"/>
      <x:c r="M309" s="26"/>
      <x:c r="N309" s="26" t="n">
        <x:v>132</x:v>
      </x:c>
      <x:c r="O309" s="26"/>
      <x:c r="P309" s="26"/>
      <x:c r="Q309" s="26"/>
      <x:c r="R309" s="26"/>
      <x:c r="S309" s="26"/>
      <x:c r="T309" s="26" t="n">
        <x:v>2640</x:v>
      </x:c>
      <x:c r="U309" s="26"/>
      <x:c r="V309" s="26" t="n">
        <x:v>2772</x:v>
      </x:c>
    </x:row>
    <x:row r="310">
      <x:c r="A310" s="22" t="str">
        <x:v>April</x:v>
      </x:c>
      <x:c r="B310" s="23" t="n">
        <x:v>46126</x:v>
      </x:c>
      <x:c r="C310" s="23" t="n">
        <x:v>46126</x:v>
      </x:c>
      <x:c r="D310" s="22" t="str">
        <x:v>Resource Fair </x:v>
      </x:c>
      <x:c r="E310" s="22" t="str">
        <x:v>Command/Unit/FRG Briefings</x:v>
      </x:c>
      <x:c r="F310" s="22" t="str"/>
      <x:c r="G310" s="22" t="str"/>
      <x:c r="H310" s="24"/>
      <x:c r="I310" s="24"/>
      <x:c r="J310" s="25" t="n">
        <x:v>1</x:v>
      </x:c>
      <x:c r="K310" s="26" t="n">
        <x:v>35</x:v>
      </x:c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 t="n">
        <x:v>35</x:v>
      </x:c>
    </x:row>
    <x:row r="311">
      <x:c r="A311" s="22" t="str">
        <x:v>April</x:v>
      </x:c>
      <x:c r="B311" s="23" t="n">
        <x:v>46128</x:v>
      </x:c>
      <x:c r="C311" s="23" t="n">
        <x:v>46128</x:v>
      </x:c>
      <x:c r="D311" s="22" t="str">
        <x:v>JCF Council Bluffs</x:v>
      </x:c>
      <x:c r="E311" s="22" t="str">
        <x:v>Community Outreach, Briefings and Events</x:v>
      </x:c>
      <x:c r="F311" s="22" t="str"/>
      <x:c r="G311" s="22" t="str"/>
      <x:c r="H311" s="24"/>
      <x:c r="I311" s="24"/>
      <x:c r="J311" s="25" t="n">
        <x:v>1</x:v>
      </x:c>
      <x:c r="K311" s="26" t="n">
        <x:v>60</x:v>
      </x:c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 t="n">
        <x:v>60</x:v>
      </x:c>
    </x:row>
    <x:row r="312">
      <x:c r="A312" s="22" t="str">
        <x:v>April</x:v>
      </x:c>
      <x:c r="B312" s="23" t="n">
        <x:v>46135</x:v>
      </x:c>
      <x:c r="C312" s="23" t="n">
        <x:v>46135</x:v>
      </x:c>
      <x:c r="D312" s="22" t="str">
        <x:v>Purple Star Schools Inauguration</x:v>
      </x:c>
      <x:c r="E312" s="22" t="str">
        <x:v>MOMC</x:v>
      </x:c>
      <x:c r="F312" s="22" t="str"/>
      <x:c r="G312" s="22" t="str"/>
      <x:c r="H312" s="24"/>
      <x:c r="I312" s="24"/>
      <x:c r="J312" s="25" t="n">
        <x:v>3</x:v>
      </x:c>
      <x:c r="K312" s="26" t="n">
        <x:v>30</x:v>
      </x:c>
      <x:c r="L312" s="26"/>
      <x:c r="M312" s="26"/>
      <x:c r="N312" s="26"/>
      <x:c r="O312" s="26"/>
      <x:c r="P312" s="26"/>
      <x:c r="Q312" s="26"/>
      <x:c r="R312" s="26"/>
      <x:c r="S312" s="26"/>
      <x:c r="T312" s="26" t="n">
        <x:v>24</x:v>
      </x:c>
      <x:c r="U312" s="26"/>
      <x:c r="V312" s="26" t="n">
        <x:v>54</x:v>
      </x:c>
    </x:row>
    <x:row r="313">
      <x:c r="A313" s="22" t="str">
        <x:v>April</x:v>
      </x:c>
      <x:c r="B313" s="23" t="n">
        <x:v>46137</x:v>
      </x:c>
      <x:c r="C313" s="23" t="n">
        <x:v>46137</x:v>
      </x:c>
      <x:c r="D313" s="22" t="str">
        <x:v>Military Family Ball</x:v>
      </x:c>
      <x:c r="E313" s="22" t="str">
        <x:v>MOMC</x:v>
      </x:c>
      <x:c r="F313" s="22" t="str"/>
      <x:c r="G313" s="22" t="str"/>
      <x:c r="H313" s="24" t="n">
        <x:v>15</x:v>
      </x:c>
      <x:c r="I313" s="24" t="n">
        <x:v>2</x:v>
      </x:c>
      <x:c r="J313" s="25" t="n">
        <x:v>2.5</x:v>
      </x:c>
      <x:c r="K313" s="26" t="n">
        <x:v>32</x:v>
      </x:c>
      <x:c r="L313" s="26" t="n">
        <x:v>2</x:v>
      </x:c>
      <x:c r="M313" s="26"/>
      <x:c r="N313" s="26" t="n">
        <x:v>46</x:v>
      </x:c>
      <x:c r="O313" s="26" t="n">
        <x:v>1</x:v>
      </x:c>
      <x:c r="P313" s="26"/>
      <x:c r="Q313" s="26" t="n">
        <x:v>8</x:v>
      </x:c>
      <x:c r="R313" s="26"/>
      <x:c r="S313" s="26"/>
      <x:c r="T313" s="26" t="n">
        <x:v>4</x:v>
      </x:c>
      <x:c r="U313" s="26"/>
      <x:c r="V313" s="26" t="n">
        <x:v>93</x:v>
      </x:c>
    </x:row>
    <x:row r="314">
      <x:c r="A314" s="22" t="str">
        <x:v>April</x:v>
      </x:c>
      <x:c r="B314" s="23" t="n">
        <x:v>46137</x:v>
      </x:c>
      <x:c r="C314" s="23" t="n">
        <x:v>46137</x:v>
      </x:c>
      <x:c r="D314" s="22" t="str">
        <x:v>STP Summit</x:v>
      </x:c>
      <x:c r="E314" s="22" t="str">
        <x:v>Teen Council Meeting or Training</x:v>
      </x:c>
      <x:c r="F314" s="22" t="str"/>
      <x:c r="G314" s="22" t="str"/>
      <x:c r="H314" s="24"/>
      <x:c r="I314" s="24"/>
      <x:c r="J314" s="25" t="n">
        <x:v>8</x:v>
      </x:c>
      <x:c r="K314" s="26"/>
      <x:c r="L314" s="26"/>
      <x:c r="M314" s="26"/>
      <x:c r="N314" s="26"/>
      <x:c r="O314" s="26"/>
      <x:c r="P314" s="26"/>
      <x:c r="Q314" s="26" t="n">
        <x:v>5</x:v>
      </x:c>
      <x:c r="R314" s="26"/>
      <x:c r="S314" s="26"/>
      <x:c r="T314" s="26"/>
      <x:c r="U314" s="26"/>
      <x:c r="V314" s="26" t="n">
        <x:v>5</x:v>
      </x:c>
    </x:row>
    <x:row r="315">
      <x:c r="A315" s="22" t="str">
        <x:v>April</x:v>
      </x:c>
      <x:c r="B315" s="23" t="n">
        <x:v>46137</x:v>
      </x:c>
      <x:c r="C315" s="23" t="n">
        <x:v>46137</x:v>
      </x:c>
      <x:c r="D315" s="22" t="str">
        <x:v>Volunteer Training</x:v>
      </x:c>
      <x:c r="E315" s="22" t="str">
        <x:v>Volunteer Training</x:v>
      </x:c>
      <x:c r="F315" s="22" t="str"/>
      <x:c r="G315" s="22" t="str"/>
      <x:c r="H315" s="24"/>
      <x:c r="I315" s="24"/>
      <x:c r="J315" s="25" t="n">
        <x:v>2</x:v>
      </x:c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 t="n">
        <x:v>15</x:v>
      </x:c>
      <x:c r="U315" s="26"/>
      <x:c r="V315" s="26" t="n">
        <x:v>15</x:v>
      </x:c>
    </x:row>
    <x:row r="316">
      <x:c r="A316" s="22" t="str">
        <x:v>May</x:v>
      </x:c>
      <x:c r="B316" s="23" t="n">
        <x:v>46146</x:v>
      </x:c>
      <x:c r="C316" s="23" t="n">
        <x:v>46146</x:v>
      </x:c>
      <x:c r="D316" s="22" t="str">
        <x:v>COI Brief</x:v>
      </x:c>
      <x:c r="E316" s="22" t="str">
        <x:v>Community Outreach, Briefings and Events</x:v>
      </x:c>
      <x:c r="F316" s="22" t="str"/>
      <x:c r="G316" s="22" t="str"/>
      <x:c r="H316" s="24"/>
      <x:c r="I316" s="24"/>
      <x:c r="J316" s="25" t="n">
        <x:v>0.5</x:v>
      </x:c>
      <x:c r="K316" s="26" t="n">
        <x:v>20</x:v>
      </x:c>
      <x:c r="L316" s="26"/>
      <x:c r="M316" s="26"/>
      <x:c r="N316" s="26" t="n">
        <x:v>6</x:v>
      </x:c>
      <x:c r="O316" s="26"/>
      <x:c r="P316" s="26"/>
      <x:c r="Q316" s="26"/>
      <x:c r="R316" s="26"/>
      <x:c r="S316" s="26"/>
      <x:c r="T316" s="26" t="n">
        <x:v>43</x:v>
      </x:c>
      <x:c r="U316" s="26"/>
      <x:c r="V316" s="26" t="n">
        <x:v>69</x:v>
      </x:c>
    </x:row>
    <x:row r="317">
      <x:c r="A317" s="22" t="str">
        <x:v>May</x:v>
      </x:c>
      <x:c r="B317" s="23" t="n">
        <x:v>46158</x:v>
      </x:c>
      <x:c r="C317" s="23" t="n">
        <x:v>46158</x:v>
      </x:c>
      <x:c r="D317" s="22" t="str">
        <x:v>Yellow Ribbon Pre</x:v>
      </x:c>
      <x:c r="E317" s="22" t="str">
        <x:v>Yellow Ribbon Briefing and Programming</x:v>
      </x:c>
      <x:c r="F317" s="22" t="str"/>
      <x:c r="G317" s="22" t="str"/>
      <x:c r="H317" s="24"/>
      <x:c r="I317" s="24"/>
      <x:c r="J317" s="25" t="n">
        <x:v>7</x:v>
      </x:c>
      <x:c r="K317" s="26" t="n">
        <x:v>136</x:v>
      </x:c>
      <x:c r="L317" s="26"/>
      <x:c r="M317" s="26"/>
      <x:c r="N317" s="26" t="n">
        <x:v>7</x:v>
      </x:c>
      <x:c r="O317" s="26"/>
      <x:c r="P317" s="26"/>
      <x:c r="Q317" s="26" t="n">
        <x:v>2</x:v>
      </x:c>
      <x:c r="R317" s="26"/>
      <x:c r="S317" s="26"/>
      <x:c r="T317" s="26"/>
      <x:c r="U317" s="26"/>
      <x:c r="V317" s="26" t="n">
        <x:v>145</x:v>
      </x:c>
    </x:row>
    <x:row r="318">
      <x:c r="A318" s="22" t="str">
        <x:v>May</x:v>
      </x:c>
      <x:c r="B318" s="23" t="n">
        <x:v>46159</x:v>
      </x:c>
      <x:c r="C318" s="23" t="n">
        <x:v>46159</x:v>
      </x:c>
      <x:c r="D318" s="22" t="str">
        <x:v>MFE Des Moines</x:v>
      </x:c>
      <x:c r="E318" s="22" t="str">
        <x:v>Day Camp</x:v>
      </x:c>
      <x:c r="F318" s="22" t="str"/>
      <x:c r="G318" s="22" t="str"/>
      <x:c r="H318" s="24" t="n">
        <x:v>1</x:v>
      </x:c>
      <x:c r="I318" s="24" t="n">
        <x:v>2</x:v>
      </x:c>
      <x:c r="J318" s="25" t="n">
        <x:v>2</x:v>
      </x:c>
      <x:c r="K318" s="26" t="n">
        <x:v>20</x:v>
      </x:c>
      <x:c r="L318" s="26"/>
      <x:c r="M318" s="26"/>
      <x:c r="N318" s="26" t="n">
        <x:v>25</x:v>
      </x:c>
      <x:c r="O318" s="26"/>
      <x:c r="P318" s="26"/>
      <x:c r="Q318" s="26" t="n">
        <x:v>6</x:v>
      </x:c>
      <x:c r="R318" s="26"/>
      <x:c r="S318" s="26"/>
      <x:c r="T318" s="26"/>
      <x:c r="U318" s="26" t="n">
        <x:v>4</x:v>
      </x:c>
      <x:c r="V318" s="26" t="n">
        <x:v>55</x:v>
      </x:c>
    </x:row>
    <x:row r="319">
      <x:c r="A319" s="22" t="str">
        <x:v>May</x:v>
      </x:c>
      <x:c r="B319" s="23" t="n">
        <x:v>46159</x:v>
      </x:c>
      <x:c r="C319" s="23" t="n">
        <x:v>46159</x:v>
      </x:c>
      <x:c r="D319" s="22" t="str">
        <x:v>MFE: Sioux City</x:v>
      </x:c>
      <x:c r="E319" s="22" t="str">
        <x:v>Day Camp</x:v>
      </x:c>
      <x:c r="F319" s="22" t="str"/>
      <x:c r="G319" s="22" t="str"/>
      <x:c r="H319" s="24" t="n">
        <x:v>1</x:v>
      </x:c>
      <x:c r="I319" s="24" t="n">
        <x:v>2</x:v>
      </x:c>
      <x:c r="J319" s="25" t="n">
        <x:v>2</x:v>
      </x:c>
      <x:c r="K319" s="26" t="n">
        <x:v>12</x:v>
      </x:c>
      <x:c r="L319" s="26" t="n">
        <x:v>1</x:v>
      </x:c>
      <x:c r="M319" s="26"/>
      <x:c r="N319" s="26" t="n">
        <x:v>15</x:v>
      </x:c>
      <x:c r="O319" s="26"/>
      <x:c r="P319" s="26"/>
      <x:c r="Q319" s="26" t="n">
        <x:v>7</x:v>
      </x:c>
      <x:c r="R319" s="26" t="n">
        <x:v>2</x:v>
      </x:c>
      <x:c r="S319" s="26"/>
      <x:c r="T319" s="26"/>
      <x:c r="U319" s="26"/>
      <x:c r="V319" s="26" t="n">
        <x:v>37</x:v>
      </x:c>
    </x:row>
    <x:row r="320">
      <x:c r="A320" s="22" t="str">
        <x:v>May</x:v>
      </x:c>
      <x:c r="B320" s="23" t="n">
        <x:v>46163</x:v>
      </x:c>
      <x:c r="C320" s="23" t="n">
        <x:v>46163</x:v>
      </x:c>
      <x:c r="D320" s="22" t="str">
        <x:v>TAG Concert Series 1</x:v>
      </x:c>
      <x:c r="E320" s="22" t="str">
        <x:v>Partnered Event or Activity</x:v>
      </x:c>
      <x:c r="F320" s="22" t="str"/>
      <x:c r="G320" s="22" t="str"/>
      <x:c r="H320" s="24" t="n">
        <x:v>2</x:v>
      </x:c>
      <x:c r="I320" s="24" t="n">
        <x:v>3</x:v>
      </x:c>
      <x:c r="J320" s="25" t="n">
        <x:v>3</x:v>
      </x:c>
      <x:c r="K320" s="26" t="n">
        <x:v>9</x:v>
      </x:c>
      <x:c r="L320" s="26"/>
      <x:c r="M320" s="26"/>
      <x:c r="N320" s="26" t="n">
        <x:v>41</x:v>
      </x:c>
      <x:c r="O320" s="26"/>
      <x:c r="P320" s="26"/>
      <x:c r="Q320" s="26"/>
      <x:c r="R320" s="26" t="n">
        <x:v>6</x:v>
      </x:c>
      <x:c r="S320" s="26"/>
      <x:c r="T320" s="26"/>
      <x:c r="U320" s="26" t="n">
        <x:v>5</x:v>
      </x:c>
      <x:c r="V320" s="26" t="n">
        <x:v>61</x:v>
      </x:c>
    </x:row>
    <x:row r="321">
      <x:c r="A321" s="22" t="str">
        <x:v>June</x:v>
      </x:c>
      <x:c r="B321" s="23" t="n">
        <x:v>46177</x:v>
      </x:c>
      <x:c r="C321" s="23" t="n">
        <x:v>46177</x:v>
      </x:c>
      <x:c r="D321" s="22" t="str">
        <x:v>TAG Concert Series</x:v>
      </x:c>
      <x:c r="E321" s="22" t="str">
        <x:v>Family Days and Military Appreciation Events</x:v>
      </x:c>
      <x:c r="F321" s="22" t="str"/>
      <x:c r="G321" s="22" t="str"/>
      <x:c r="H321" s="24" t="n">
        <x:v>3</x:v>
      </x:c>
      <x:c r="I321" s="24" t="n">
        <x:v>3</x:v>
      </x:c>
      <x:c r="J321" s="25" t="n">
        <x:v>3</x:v>
      </x:c>
      <x:c r="K321" s="26"/>
      <x:c r="L321" s="26"/>
      <x:c r="M321" s="26"/>
      <x:c r="N321" s="26" t="n">
        <x:v>27</x:v>
      </x:c>
      <x:c r="O321" s="26"/>
      <x:c r="P321" s="26"/>
      <x:c r="Q321" s="26" t="n">
        <x:v>8</x:v>
      </x:c>
      <x:c r="R321" s="26"/>
      <x:c r="S321" s="26"/>
      <x:c r="T321" s="26"/>
      <x:c r="U321" s="26" t="n">
        <x:v>3</x:v>
      </x:c>
      <x:c r="V321" s="26" t="n">
        <x:v>38</x:v>
      </x:c>
    </x:row>
    <x:row r="322">
      <x:c r="A322" s="22" t="str">
        <x:v>June</x:v>
      </x:c>
      <x:c r="B322" s="23" t="n">
        <x:v>46184</x:v>
      </x:c>
      <x:c r="C322" s="23" t="n">
        <x:v>46184</x:v>
      </x:c>
      <x:c r="D322" s="22" t="str">
        <x:v>TAG Concert Series</x:v>
      </x:c>
      <x:c r="E322" s="22" t="str">
        <x:v>Partnered Event or Activity</x:v>
      </x:c>
      <x:c r="F322" s="22" t="str"/>
      <x:c r="G322" s="22" t="str"/>
      <x:c r="H322" s="24" t="n">
        <x:v>1</x:v>
      </x:c>
      <x:c r="I322" s="24"/>
      <x:c r="J322" s="25" t="n">
        <x:v>3</x:v>
      </x:c>
      <x:c r="K322" s="26"/>
      <x:c r="L322" s="26"/>
      <x:c r="M322" s="26"/>
      <x:c r="N322" s="26" t="n">
        <x:v>12</x:v>
      </x:c>
      <x:c r="O322" s="26"/>
      <x:c r="P322" s="26"/>
      <x:c r="Q322" s="26" t="n">
        <x:v>5</x:v>
      </x:c>
      <x:c r="R322" s="26"/>
      <x:c r="S322" s="26"/>
      <x:c r="T322" s="26"/>
      <x:c r="U322" s="26"/>
      <x:c r="V322" s="26" t="n">
        <x:v>17</x:v>
      </x:c>
    </x:row>
    <x:row r="323">
      <x:c r="A323" s="22" t="str">
        <x:v>June</x:v>
      </x:c>
      <x:c r="B323" s="23" t="n">
        <x:v>46192</x:v>
      </x:c>
      <x:c r="C323" s="23" t="n">
        <x:v>46192</x:v>
      </x:c>
      <x:c r="D323" s="22" t="str">
        <x:v>Gold Star Museum Tour</x:v>
      </x:c>
      <x:c r="E323" s="22" t="str">
        <x:v>Community Outreach, Briefings and Events</x:v>
      </x:c>
      <x:c r="F323" s="22" t="str"/>
      <x:c r="G323" s="22" t="str"/>
      <x:c r="H323" s="24"/>
      <x:c r="I323" s="24"/>
      <x:c r="J323" s="25" t="n">
        <x:v>2</x:v>
      </x:c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 t="n">
        <x:v>20</x:v>
      </x:c>
      <x:c r="U323" s="26"/>
      <x:c r="V323" s="26" t="n">
        <x:v>20</x:v>
      </x:c>
    </x:row>
    <x:row r="324">
      <x:c r="A324" s="22" t="str">
        <x:v>June</x:v>
      </x:c>
      <x:c r="B324" s="23" t="n">
        <x:v>46198</x:v>
      </x:c>
      <x:c r="C324" s="23" t="n">
        <x:v>46198</x:v>
      </x:c>
      <x:c r="D324" s="22" t="str">
        <x:v>TAG Concert Series</x:v>
      </x:c>
      <x:c r="E324" s="22" t="str">
        <x:v>Community and Partner Trainings or Meetings</x:v>
      </x:c>
      <x:c r="F324" s="22" t="str"/>
      <x:c r="G324" s="22" t="str"/>
      <x:c r="H324" s="24"/>
      <x:c r="I324" s="24"/>
      <x:c r="J324" s="25" t="n">
        <x:v>3</x:v>
      </x:c>
      <x:c r="K324" s="26" t="n">
        <x:v>2</x:v>
      </x:c>
      <x:c r="L324" s="26"/>
      <x:c r="M324" s="26"/>
      <x:c r="N324" s="26" t="n">
        <x:v>4</x:v>
      </x:c>
      <x:c r="O324" s="26"/>
      <x:c r="P324" s="26"/>
      <x:c r="Q324" s="26" t="n">
        <x:v>22</x:v>
      </x:c>
      <x:c r="R324" s="26"/>
      <x:c r="S324" s="26"/>
      <x:c r="T324" s="26"/>
      <x:c r="U324" s="26"/>
      <x:c r="V324" s="26" t="n">
        <x:v>28</x:v>
      </x:c>
    </x:row>
    <x:row r="325">
      <x:c r="A325" s="22" t="str">
        <x:v>June</x:v>
      </x:c>
      <x:c r="B325" s="23" t="n">
        <x:v>46198</x:v>
      </x:c>
      <x:c r="C325" s="23" t="n">
        <x:v>46198</x:v>
      </x:c>
      <x:c r="D325" s="22" t="str">
        <x:v>Volunteer Awards</x:v>
      </x:c>
      <x:c r="E325" s="22" t="str">
        <x:v>Teen Council Meeting or Training</x:v>
      </x:c>
      <x:c r="F325" s="22" t="str"/>
      <x:c r="G325" s="22" t="str"/>
      <x:c r="H325" s="24"/>
      <x:c r="I325" s="24"/>
      <x:c r="J325" s="25" t="n">
        <x:v>2</x:v>
      </x:c>
      <x:c r="K325" s="26" t="n">
        <x:v>6</x:v>
      </x:c>
      <x:c r="L325" s="26"/>
      <x:c r="M325" s="26"/>
      <x:c r="N325" s="26"/>
      <x:c r="O325" s="26"/>
      <x:c r="P325" s="26"/>
      <x:c r="Q325" s="26" t="n">
        <x:v>2</x:v>
      </x:c>
      <x:c r="R325" s="26"/>
      <x:c r="S325" s="26"/>
      <x:c r="T325" s="26"/>
      <x:c r="U325" s="26"/>
      <x:c r="V325" s="26" t="n">
        <x:v>8</x:v>
      </x:c>
    </x:row>
    <x:row r="326">
      <x:c r="A326" s="22" t="str">
        <x:v>June</x:v>
      </x:c>
      <x:c r="B326" s="23" t="n">
        <x:v>46201</x:v>
      </x:c>
      <x:c r="C326" s="23" t="n">
        <x:v>46201</x:v>
      </x:c>
      <x:c r="D326" s="22" t="str">
        <x:v>MFE Cedar Falls</x:v>
      </x:c>
      <x:c r="E326" s="22" t="str">
        <x:v>Day Camp</x:v>
      </x:c>
      <x:c r="F326" s="22" t="str"/>
      <x:c r="G326" s="22" t="str"/>
      <x:c r="H326" s="24" t="n">
        <x:v>1</x:v>
      </x:c>
      <x:c r="I326" s="24" t="n">
        <x:v>2</x:v>
      </x:c>
      <x:c r="J326" s="25" t="n">
        <x:v>2</x:v>
      </x:c>
      <x:c r="K326" s="26" t="n">
        <x:v>3</x:v>
      </x:c>
      <x:c r="L326" s="26"/>
      <x:c r="M326" s="26"/>
      <x:c r="N326" s="26" t="n">
        <x:v>6</x:v>
      </x:c>
      <x:c r="O326" s="26"/>
      <x:c r="P326" s="26"/>
      <x:c r="Q326" s="26" t="n">
        <x:v>3</x:v>
      </x:c>
      <x:c r="R326" s="26"/>
      <x:c r="S326" s="26"/>
      <x:c r="T326" s="26"/>
      <x:c r="U326" s="26"/>
      <x:c r="V326" s="26" t="n">
        <x:v>12</x:v>
      </x:c>
    </x:row>
    <x:row r="327">
      <x:c r="A327" s="22" t="str">
        <x:v>July</x:v>
      </x:c>
      <x:c r="B327" s="23" t="n">
        <x:v>46216</x:v>
      </x:c>
      <x:c r="C327" s="23" t="n">
        <x:v>46220</x:v>
      </x:c>
      <x:c r="D327" s="22" t="str">
        <x:v>Region 7 Symposium </x:v>
      </x:c>
      <x:c r="E327" s="22" t="str">
        <x:v>Regional Symposium</x:v>
      </x:c>
      <x:c r="F327" s="22" t="str"/>
      <x:c r="G327" s="22" t="str"/>
      <x:c r="H327" s="24" t="n">
        <x:v>3</x:v>
      </x:c>
      <x:c r="I327" s="24" t="n">
        <x:v>12</x:v>
      </x:c>
      <x:c r="J327" s="25" t="n">
        <x:v>56</x:v>
      </x:c>
      <x:c r="K327" s="26" t="n">
        <x:v>7</x:v>
      </x:c>
      <x:c r="L327" s="26"/>
      <x:c r="M327" s="26"/>
      <x:c r="N327" s="26"/>
      <x:c r="O327" s="26"/>
      <x:c r="P327" s="26"/>
      <x:c r="Q327" s="26" t="n">
        <x:v>9</x:v>
      </x:c>
      <x:c r="R327" s="26" t="n">
        <x:v>1</x:v>
      </x:c>
      <x:c r="S327" s="26"/>
      <x:c r="T327" s="26"/>
      <x:c r="U327" s="26"/>
      <x:c r="V327" s="26" t="n">
        <x:v>17</x:v>
      </x:c>
    </x:row>
    <x:row r="328">
      <x:c r="A328" s="22" t="str">
        <x:v>July</x:v>
      </x:c>
      <x:c r="B328" s="23" t="n">
        <x:v>46222</x:v>
      </x:c>
      <x:c r="C328" s="23" t="n">
        <x:v>46228</x:v>
      </x:c>
      <x:c r="D328" s="22" t="str">
        <x:v>Volunteer Training</x:v>
      </x:c>
      <x:c r="E328" s="22" t="str">
        <x:v>Volunteer Training</x:v>
      </x:c>
      <x:c r="F328" s="22" t="str"/>
      <x:c r="G328" s="22" t="str"/>
      <x:c r="H328" s="24"/>
      <x:c r="I328" s="24"/>
      <x:c r="J328" s="25" t="n">
        <x:v>2</x:v>
      </x:c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 t="n">
        <x:v>14</x:v>
      </x:c>
      <x:c r="U328" s="26"/>
      <x:c r="V328" s="26" t="n">
        <x:v>14</x:v>
      </x:c>
    </x:row>
    <x:row r="329">
      <x:c r="A329" s="22" t="str">
        <x:v>July</x:v>
      </x:c>
      <x:c r="B329" s="23" t="n">
        <x:v>46222</x:v>
      </x:c>
      <x:c r="C329" s="23" t="n">
        <x:v>46228</x:v>
      </x:c>
      <x:c r="D329" s="22" t="str">
        <x:v>Youth Symposium</x:v>
      </x:c>
      <x:c r="E329" s="22" t="str">
        <x:v>Youth Symposium</x:v>
      </x:c>
      <x:c r="F329" s="22" t="str"/>
      <x:c r="G329" s="22" t="str"/>
      <x:c r="H329" s="24" t="n">
        <x:v>14</x:v>
      </x:c>
      <x:c r="I329" s="24" t="n">
        <x:v>87</x:v>
      </x:c>
      <x:c r="J329" s="25" t="n">
        <x:v>87</x:v>
      </x:c>
      <x:c r="K329" s="26"/>
      <x:c r="L329" s="26"/>
      <x:c r="M329" s="26"/>
      <x:c r="N329" s="26" t="n">
        <x:v>33</x:v>
      </x:c>
      <x:c r="O329" s="26"/>
      <x:c r="P329" s="26"/>
      <x:c r="Q329" s="26" t="n">
        <x:v>46</x:v>
      </x:c>
      <x:c r="R329" s="26"/>
      <x:c r="S329" s="26"/>
      <x:c r="T329" s="26"/>
      <x:c r="U329" s="26"/>
      <x:c r="V329" s="26" t="n">
        <x:v>79</x:v>
      </x:c>
    </x:row>
    <x:row r="330">
      <x:c r="A330" s="22" t="str">
        <x:v>July</x:v>
      </x:c>
      <x:c r="B330" s="23" t="n">
        <x:v>46228</x:v>
      </x:c>
      <x:c r="C330" s="23" t="n">
        <x:v>46228</x:v>
      </x:c>
      <x:c r="D330" s="22" t="str">
        <x:v>SOS Retreat</x:v>
      </x:c>
      <x:c r="E330" s="22" t="str">
        <x:v>Gold Star Training/Event</x:v>
      </x:c>
      <x:c r="F330" s="22" t="str"/>
      <x:c r="G330" s="22" t="str"/>
      <x:c r="H330" s="24" t="n">
        <x:v>1</x:v>
      </x:c>
      <x:c r="I330" s="24" t="n">
        <x:v>5</x:v>
      </x:c>
      <x:c r="J330" s="25" t="n">
        <x:v>5</x:v>
      </x:c>
      <x:c r="K330" s="26" t="n">
        <x:v>56</x:v>
      </x:c>
      <x:c r="L330" s="26"/>
      <x:c r="M330" s="26"/>
      <x:c r="N330" s="26" t="n">
        <x:v>13</x:v>
      </x:c>
      <x:c r="O330" s="26"/>
      <x:c r="P330" s="26"/>
      <x:c r="Q330" s="26" t="n">
        <x:v>8</x:v>
      </x:c>
      <x:c r="R330" s="26"/>
      <x:c r="S330" s="26"/>
      <x:c r="T330" s="26"/>
      <x:c r="U330" s="26"/>
      <x:c r="V330" s="26" t="n">
        <x:v>77</x:v>
      </x:c>
    </x:row>
    <x:row r="331">
      <x:c r="A331" s="22" t="str">
        <x:v>July</x:v>
      </x:c>
      <x:c r="B331" s="23" t="n">
        <x:v>46234</x:v>
      </x:c>
      <x:c r="C331" s="23" t="n">
        <x:v>46234</x:v>
      </x:c>
      <x:c r="D331" s="22" t="str">
        <x:v>Horse Camp 1</x:v>
      </x:c>
      <x:c r="E331" s="22" t="str">
        <x:v>Day Camp</x:v>
      </x:c>
      <x:c r="F331" s="22" t="str"/>
      <x:c r="G331" s="22" t="str"/>
      <x:c r="H331" s="24" t="n">
        <x:v>6</x:v>
      </x:c>
      <x:c r="I331" s="24" t="n">
        <x:v>2</x:v>
      </x:c>
      <x:c r="J331" s="25" t="n">
        <x:v>2</x:v>
      </x:c>
      <x:c r="K331" s="26"/>
      <x:c r="L331" s="26"/>
      <x:c r="M331" s="26"/>
      <x:c r="N331" s="26" t="n">
        <x:v>11</x:v>
      </x:c>
      <x:c r="O331" s="26"/>
      <x:c r="P331" s="26"/>
      <x:c r="Q331" s="26" t="n">
        <x:v>3</x:v>
      </x:c>
      <x:c r="R331" s="26"/>
      <x:c r="S331" s="26"/>
      <x:c r="T331" s="26"/>
      <x:c r="U331" s="26"/>
      <x:c r="V331" s="26" t="n">
        <x:v>14</x:v>
      </x:c>
    </x:row>
    <x:row r="332">
      <x:c r="A332" s="22" t="str">
        <x:v>August</x:v>
      </x:c>
      <x:c r="B332" s="23" t="n">
        <x:v>46235</x:v>
      </x:c>
      <x:c r="C332" s="23" t="n">
        <x:v>46235</x:v>
      </x:c>
      <x:c r="D332" s="22" t="str">
        <x:v>Horse Camp 2</x:v>
      </x:c>
      <x:c r="E332" s="22" t="str">
        <x:v>Day Camp</x:v>
      </x:c>
      <x:c r="F332" s="22" t="str"/>
      <x:c r="G332" s="22" t="str"/>
      <x:c r="H332" s="24"/>
      <x:c r="I332" s="24"/>
      <x:c r="J332" s="25" t="n">
        <x:v>2</x:v>
      </x:c>
      <x:c r="K332" s="26"/>
      <x:c r="L332" s="26"/>
      <x:c r="M332" s="26"/>
      <x:c r="N332" s="26" t="n">
        <x:v>10</x:v>
      </x:c>
      <x:c r="O332" s="26"/>
      <x:c r="P332" s="26"/>
      <x:c r="Q332" s="26" t="n">
        <x:v>2</x:v>
      </x:c>
      <x:c r="R332" s="26"/>
      <x:c r="S332" s="26"/>
      <x:c r="T332" s="26"/>
      <x:c r="U332" s="26"/>
      <x:c r="V332" s="26" t="n">
        <x:v>12</x:v>
      </x:c>
    </x:row>
    <x:row r="333">
      <x:c r="A333" s="22" t="str">
        <x:v>August</x:v>
      </x:c>
      <x:c r="B333" s="23" t="n">
        <x:v>46235</x:v>
      </x:c>
      <x:c r="C333" s="23" t="n">
        <x:v>46235</x:v>
      </x:c>
      <x:c r="D333" s="22" t="str">
        <x:v>Post Deployment Yellow Ribbon</x:v>
      </x:c>
      <x:c r="E333" s="22" t="str">
        <x:v>Yellow Ribbon Briefing and Programming</x:v>
      </x:c>
      <x:c r="F333" s="22" t="str"/>
      <x:c r="G333" s="22" t="str"/>
      <x:c r="H333" s="24" t="n">
        <x:v>2</x:v>
      </x:c>
      <x:c r="I333" s="24" t="n">
        <x:v>8</x:v>
      </x:c>
      <x:c r="J333" s="25" t="n">
        <x:v>7</x:v>
      </x:c>
      <x:c r="K333" s="26" t="n">
        <x:v>1000</x:v>
      </x:c>
      <x:c r="L333" s="26"/>
      <x:c r="M333" s="26"/>
      <x:c r="N333" s="26" t="n">
        <x:v>7</x:v>
      </x:c>
      <x:c r="O333" s="26"/>
      <x:c r="P333" s="26"/>
      <x:c r="Q333" s="26"/>
      <x:c r="R333" s="26"/>
      <x:c r="S333" s="26"/>
      <x:c r="T333" s="26"/>
      <x:c r="U333" s="26"/>
      <x:c r="V333" s="26" t="n">
        <x:v>1007</x:v>
      </x:c>
    </x:row>
    <x:row r="334">
      <x:c r="A334" s="22" t="str">
        <x:v>August</x:v>
      </x:c>
      <x:c r="B334" s="23" t="n">
        <x:v>46242</x:v>
      </x:c>
      <x:c r="C334" s="23" t="n">
        <x:v>46242</x:v>
      </x:c>
      <x:c r="D334" s="22" t="str">
        <x:v>Yellow Ribbon Ft Dodge</x:v>
      </x:c>
      <x:c r="E334" s="22" t="str">
        <x:v>Yellow Ribbon Briefing and Programming</x:v>
      </x:c>
      <x:c r="F334" s="22" t="str"/>
      <x:c r="G334" s="22" t="str"/>
      <x:c r="H334" s="24"/>
      <x:c r="I334" s="24"/>
      <x:c r="J334" s="25" t="n">
        <x:v>1.5</x:v>
      </x:c>
      <x:c r="K334" s="26" t="n">
        <x:v>106</x:v>
      </x:c>
      <x:c r="L334" s="26"/>
      <x:c r="M334" s="26"/>
      <x:c r="N334" s="26" t="n">
        <x:v>2</x:v>
      </x:c>
      <x:c r="O334" s="26"/>
      <x:c r="P334" s="26"/>
      <x:c r="Q334" s="26"/>
      <x:c r="R334" s="26"/>
      <x:c r="S334" s="26"/>
      <x:c r="T334" s="26"/>
      <x:c r="U334" s="26" t="n">
        <x:v>1</x:v>
      </x:c>
      <x:c r="V334" s="26" t="n">
        <x:v>109</x:v>
      </x:c>
    </x:row>
    <x:row r="335">
      <x:c r="A335" s="22" t="str">
        <x:v>August</x:v>
      </x:c>
      <x:c r="B335" s="23" t="n">
        <x:v>46243</x:v>
      </x:c>
      <x:c r="C335" s="23" t="n">
        <x:v>46243</x:v>
      </x:c>
      <x:c r="D335" s="22" t="str">
        <x:v>MFE: Council Bluffs</x:v>
      </x:c>
      <x:c r="E335" s="22" t="str">
        <x:v>Day Camp</x:v>
      </x:c>
      <x:c r="F335" s="22" t="str"/>
      <x:c r="G335" s="22" t="str"/>
      <x:c r="H335" s="24"/>
      <x:c r="I335" s="24"/>
      <x:c r="J335" s="25" t="n">
        <x:v>2</x:v>
      </x:c>
      <x:c r="K335" s="26" t="n">
        <x:v>19</x:v>
      </x:c>
      <x:c r="L335" s="26"/>
      <x:c r="M335" s="26"/>
      <x:c r="N335" s="26" t="n">
        <x:v>15</x:v>
      </x:c>
      <x:c r="O335" s="26"/>
      <x:c r="P335" s="26"/>
      <x:c r="Q335" s="26" t="n">
        <x:v>4</x:v>
      </x:c>
      <x:c r="R335" s="26"/>
      <x:c r="S335" s="26"/>
      <x:c r="T335" s="26"/>
      <x:c r="U335" s="26" t="n">
        <x:v>2</x:v>
      </x:c>
      <x:c r="V335" s="26" t="n">
        <x:v>40</x:v>
      </x:c>
    </x:row>
    <x:row r="336">
      <x:c r="A336" s="22" t="str">
        <x:v>August</x:v>
      </x:c>
      <x:c r="B336" s="23" t="n">
        <x:v>46249</x:v>
      </x:c>
      <x:c r="C336" s="23" t="n">
        <x:v>46249</x:v>
      </x:c>
      <x:c r="D336" s="22" t="str">
        <x:v> Yellow Ribbon Pre Sioux City</x:v>
      </x:c>
      <x:c r="E336" s="22" t="str">
        <x:v>Yellow Ribbon Briefing and Programming</x:v>
      </x:c>
      <x:c r="F336" s="22" t="str"/>
      <x:c r="G336" s="22" t="str"/>
      <x:c r="H336" s="24"/>
      <x:c r="I336" s="24"/>
      <x:c r="J336" s="25" t="n">
        <x:v>1</x:v>
      </x:c>
      <x:c r="K336" s="26" t="n">
        <x:v>450</x:v>
      </x:c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 t="n">
        <x:v>450</x:v>
      </x:c>
    </x:row>
    <x:row r="337">
      <x:c r="A337" s="22" t="str">
        <x:v>August</x:v>
      </x:c>
      <x:c r="B337" s="23" t="n">
        <x:v>46249</x:v>
      </x:c>
      <x:c r="C337" s="23" t="n">
        <x:v>46249</x:v>
      </x:c>
      <x:c r="D337" s="22" t="str">
        <x:v> Yellow Ribbon Pre Waterloo</x:v>
      </x:c>
      <x:c r="E337" s="22" t="str">
        <x:v>Yellow Ribbon Briefing and Programming</x:v>
      </x:c>
      <x:c r="F337" s="22" t="str"/>
      <x:c r="G337" s="22" t="str"/>
      <x:c r="H337" s="24"/>
      <x:c r="I337" s="24"/>
      <x:c r="J337" s="25" t="n">
        <x:v>1</x:v>
      </x:c>
      <x:c r="K337" s="26" t="n">
        <x:v>425</x:v>
      </x:c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 t="n">
        <x:v>425</x:v>
      </x:c>
    </x:row>
    <x:row r="338">
      <x:c r="A338" s="22" t="str">
        <x:v>August</x:v>
      </x:c>
      <x:c r="B338" s="23" t="n">
        <x:v>46253</x:v>
      </x:c>
      <x:c r="C338" s="23" t="n">
        <x:v>46253</x:v>
      </x:c>
      <x:c r="D338" s="22" t="str">
        <x:v>Living History Farms Day Camp 1 </x:v>
      </x:c>
      <x:c r="E338" s="22" t="str">
        <x:v>Day Camp</x:v>
      </x:c>
      <x:c r="F338" s="22" t="str"/>
      <x:c r="G338" s="22" t="str"/>
      <x:c r="H338" s="24" t="n">
        <x:v>1</x:v>
      </x:c>
      <x:c r="I338" s="24" t="n">
        <x:v>8</x:v>
      </x:c>
      <x:c r="J338" s="25" t="n">
        <x:v>7</x:v>
      </x:c>
      <x:c r="K338" s="26" t="n">
        <x:v>4</x:v>
      </x:c>
      <x:c r="L338" s="26"/>
      <x:c r="M338" s="26"/>
      <x:c r="N338" s="26" t="n">
        <x:v>17</x:v>
      </x:c>
      <x:c r="O338" s="26"/>
      <x:c r="P338" s="26"/>
      <x:c r="Q338" s="26" t="n">
        <x:v>1</x:v>
      </x:c>
      <x:c r="R338" s="26"/>
      <x:c r="S338" s="26"/>
      <x:c r="T338" s="26"/>
      <x:c r="U338" s="26"/>
      <x:c r="V338" s="26" t="n">
        <x:v>22</x:v>
      </x:c>
    </x:row>
    <x:row r="339">
      <x:c r="A339" s="22" t="str">
        <x:v>August</x:v>
      </x:c>
      <x:c r="B339" s="23" t="n">
        <x:v>46255</x:v>
      </x:c>
      <x:c r="C339" s="23" t="n">
        <x:v>46255</x:v>
      </x:c>
      <x:c r="D339" s="22" t="str">
        <x:v>Living History Farms Day Camp 2</x:v>
      </x:c>
      <x:c r="E339" s="22" t="str">
        <x:v>Day Camp</x:v>
      </x:c>
      <x:c r="F339" s="22" t="str"/>
      <x:c r="G339" s="22" t="str"/>
      <x:c r="H339" s="24" t="n">
        <x:v>1</x:v>
      </x:c>
      <x:c r="I339" s="24" t="n">
        <x:v>8</x:v>
      </x:c>
      <x:c r="J339" s="25" t="n">
        <x:v>7</x:v>
      </x:c>
      <x:c r="K339" s="26" t="n">
        <x:v>8</x:v>
      </x:c>
      <x:c r="L339" s="26"/>
      <x:c r="M339" s="26"/>
      <x:c r="N339" s="26" t="n">
        <x:v>11</x:v>
      </x:c>
      <x:c r="O339" s="26"/>
      <x:c r="P339" s="26"/>
      <x:c r="Q339" s="26"/>
      <x:c r="R339" s="26"/>
      <x:c r="S339" s="26"/>
      <x:c r="T339" s="26"/>
      <x:c r="U339" s="26" t="n">
        <x:v>1</x:v>
      </x:c>
      <x:c r="V339" s="26" t="n">
        <x:v>20</x:v>
      </x:c>
    </x:row>
    <x:row r="340">
      <x:c r="A340" s="27" t="str">
        <x:v>August</x:v>
      </x:c>
      <x:c r="B340" s="28" t="n">
        <x:v>46262</x:v>
      </x:c>
      <x:c r="C340" s="28" t="n">
        <x:v>46262</x:v>
      </x:c>
      <x:c r="D340" s="27" t="str">
        <x:v>Post Deployment</x:v>
      </x:c>
      <x:c r="E340" s="27" t="str">
        <x:v>Yellow Ribbon Briefing and Programming</x:v>
      </x:c>
      <x:c r="F340" s="27" t="str"/>
      <x:c r="G340" s="27" t="str"/>
      <x:c r="H340" s="29"/>
      <x:c r="I340" s="29"/>
      <x:c r="J340" s="30" t="n">
        <x:v>6</x:v>
      </x:c>
      <x:c r="K340" s="31" t="n">
        <x:v>340</x:v>
      </x:c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 t="n">
        <x:v>340</x:v>
      </x:c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</x:row>
  </x:sheetData>
  <x:mergeCells>
    <x:mergeCell ref="A2:V2"/>
    <x:mergeCell ref="A5:V5"/>
    <x:mergeCell ref="A6:V6"/>
  </x:mergeCells>
  <x:pageMargins left="0.7" right="0.7" top="0.75" bottom="0.75" header="0.3" footer="0.3"/>
</x:worksheet>
</file>